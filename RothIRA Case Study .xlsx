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kuan/Desktop/Business Statistics and Analysis/Master Review - Main /Financial Markets /Project:Case Study /"/>
    </mc:Choice>
  </mc:AlternateContent>
  <xr:revisionPtr revIDLastSave="0" documentId="13_ncr:1_{37DB5629-BB75-3A4C-8DB1-C3D7C9564CFB}" xr6:coauthVersionLast="47" xr6:coauthVersionMax="47" xr10:uidLastSave="{00000000-0000-0000-0000-000000000000}"/>
  <bookViews>
    <workbookView xWindow="0" yWindow="600" windowWidth="28800" windowHeight="18040" xr2:uid="{BA0ED679-B711-7C42-9660-D91E64CEC9A1}"/>
  </bookViews>
  <sheets>
    <sheet name="Summary Report" sheetId="1" r:id="rId1"/>
    <sheet name="Data Descriptors 1" sheetId="2" r:id="rId2"/>
    <sheet name="Data Descriptors 2" sheetId="6" r:id="rId3"/>
    <sheet name="Graphs and Charts" sheetId="3" r:id="rId4"/>
    <sheet name="Statistical Tests" sheetId="4" r:id="rId5"/>
    <sheet name="References" sheetId="5" r:id="rId6"/>
  </sheets>
  <externalReferences>
    <externalReference r:id="rId7"/>
  </externalReferences>
  <definedNames>
    <definedName name="HTML_CodePage" hidden="1">1252</definedName>
    <definedName name="HTML_Control" hidden="1">{"'Sheet1'!$A$1:$G$85"}</definedName>
    <definedName name="HTML_Description" hidden="1">""</definedName>
    <definedName name="HTML_Email" hidden="1">""</definedName>
    <definedName name="HTML_Header" hidden="1">"Sheet1"</definedName>
    <definedName name="HTML_LastUpdate" hidden="1">"2/24/99"</definedName>
    <definedName name="HTML_LineAfter" hidden="1">TRUE</definedName>
    <definedName name="HTML_LineBefore" hidden="1">TRUE</definedName>
    <definedName name="HTML_Name" hidden="1">"Aswath Damodaran"</definedName>
    <definedName name="HTML_OBDlg2" hidden="1">TRUE</definedName>
    <definedName name="HTML_OBDlg4" hidden="1">TRUE</definedName>
    <definedName name="HTML_OS" hidden="1">1</definedName>
    <definedName name="HTML_PathFileMac" hidden="1">"Macintosh HD:HomePageStuff:New_Home_Page:datafile:histret.html"</definedName>
    <definedName name="HTML_Title" hidden="1">"Historical Returns on Stocks, Bonds and Bills"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4" l="1"/>
  <c r="I25" i="4" a="1"/>
  <c r="I25" i="4" s="1"/>
  <c r="I24" i="4" a="1"/>
  <c r="I24" i="4" s="1"/>
  <c r="H24" i="4"/>
  <c r="H25" i="4"/>
  <c r="D26" i="4"/>
  <c r="E15" i="4"/>
  <c r="E14" i="4"/>
  <c r="E13" i="4"/>
  <c r="F12" i="4"/>
  <c r="E12" i="4"/>
  <c r="E11" i="4"/>
  <c r="E10" i="4"/>
  <c r="C9" i="4"/>
  <c r="E9" i="4" s="1"/>
  <c r="AU11" i="2"/>
  <c r="AU12" i="2"/>
  <c r="AU13" i="2"/>
  <c r="AU14" i="2"/>
  <c r="AU15" i="2"/>
  <c r="AU16" i="2"/>
  <c r="AU17" i="2"/>
  <c r="AU18" i="2"/>
  <c r="AU19" i="2"/>
  <c r="AU20" i="2"/>
  <c r="AU21" i="2"/>
  <c r="AU22" i="2"/>
  <c r="AU23" i="2"/>
  <c r="AU24" i="2"/>
  <c r="AU25" i="2"/>
  <c r="AU26" i="2"/>
  <c r="AU27" i="2"/>
  <c r="AU28" i="2"/>
  <c r="AU29" i="2"/>
  <c r="AU30" i="2"/>
  <c r="AU31" i="2"/>
  <c r="AU32" i="2"/>
  <c r="AU33" i="2"/>
  <c r="AU34" i="2"/>
  <c r="AU35" i="2"/>
  <c r="AU36" i="2"/>
  <c r="AU37" i="2"/>
  <c r="AU38" i="2"/>
  <c r="AU39" i="2"/>
  <c r="AU40" i="2"/>
  <c r="AU41" i="2"/>
  <c r="AU42" i="2"/>
  <c r="AU43" i="2"/>
  <c r="AU44" i="2"/>
  <c r="AU45" i="2"/>
  <c r="AU10" i="2"/>
  <c r="F35" i="4" s="1"/>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R5" i="2"/>
  <c r="R4" i="2"/>
  <c r="R3" i="2"/>
  <c r="BF8" i="2" a="1"/>
  <c r="D10" i="4" a="1"/>
  <c r="D14" i="4" a="1"/>
  <c r="D13" i="4" a="1"/>
  <c r="D9" i="4" a="1"/>
  <c r="D11" i="4" a="1"/>
  <c r="D15" i="4" a="1"/>
  <c r="E17" i="4" l="1"/>
  <c r="K12" i="4"/>
  <c r="H12" i="4"/>
  <c r="J12" i="4" s="1"/>
  <c r="G12" i="4"/>
  <c r="BH45" i="2"/>
  <c r="BH37" i="2"/>
  <c r="BH29" i="2"/>
  <c r="BH21" i="2"/>
  <c r="BH13" i="2"/>
  <c r="BH44" i="2"/>
  <c r="BH36" i="2"/>
  <c r="BH28" i="2"/>
  <c r="BH20" i="2"/>
  <c r="BH12" i="2"/>
  <c r="BH43" i="2"/>
  <c r="BH35" i="2"/>
  <c r="BH27" i="2"/>
  <c r="BH19" i="2"/>
  <c r="BH11" i="2"/>
  <c r="BH42" i="2"/>
  <c r="BH34" i="2"/>
  <c r="BH26" i="2"/>
  <c r="BH18" i="2"/>
  <c r="BH10" i="2"/>
  <c r="BH41" i="2"/>
  <c r="BH33" i="2"/>
  <c r="BH25" i="2"/>
  <c r="BH17" i="2"/>
  <c r="BF8" i="2"/>
  <c r="BH40" i="2"/>
  <c r="BH32" i="2"/>
  <c r="BH24" i="2"/>
  <c r="BH16" i="2"/>
  <c r="BH39" i="2"/>
  <c r="BH31" i="2"/>
  <c r="BH23" i="2"/>
  <c r="BH15" i="2"/>
  <c r="BH38" i="2"/>
  <c r="BH30" i="2"/>
  <c r="BH22" i="2"/>
  <c r="BH14" i="2"/>
  <c r="F33" i="4"/>
  <c r="G31" i="4"/>
  <c r="G33" i="4" s="1"/>
  <c r="D13" i="4"/>
  <c r="F13" i="4" s="1"/>
  <c r="D15" i="4"/>
  <c r="F15" i="4" s="1"/>
  <c r="D14" i="4"/>
  <c r="F14" i="4" s="1"/>
  <c r="D9" i="4"/>
  <c r="F9" i="4" s="1"/>
  <c r="D10" i="4"/>
  <c r="F10" i="4" s="1"/>
  <c r="D11" i="4"/>
  <c r="F11" i="4" s="1"/>
  <c r="F36" i="4" l="1"/>
  <c r="F38" i="4" s="1"/>
  <c r="F47" i="4" s="1"/>
  <c r="F37" i="4"/>
  <c r="F46" i="4" s="1"/>
  <c r="G46" i="4" s="1"/>
  <c r="K14" i="4"/>
  <c r="H14" i="4"/>
  <c r="J14" i="4" s="1"/>
  <c r="G14" i="4"/>
  <c r="F17" i="4"/>
  <c r="K9" i="4"/>
  <c r="H9" i="4"/>
  <c r="J9" i="4" s="1"/>
  <c r="G9" i="4"/>
  <c r="K15" i="4"/>
  <c r="H15" i="4"/>
  <c r="J15" i="4" s="1"/>
  <c r="G15" i="4"/>
  <c r="K11" i="4"/>
  <c r="H11" i="4"/>
  <c r="J11" i="4" s="1"/>
  <c r="G11" i="4"/>
  <c r="K10" i="4"/>
  <c r="H10" i="4"/>
  <c r="J10" i="4" s="1"/>
  <c r="G10" i="4"/>
  <c r="K13" i="4"/>
  <c r="H13" i="4"/>
  <c r="J13" i="4" s="1"/>
  <c r="G13" i="4"/>
  <c r="D25" i="4" l="1"/>
  <c r="E25" i="4" s="1"/>
  <c r="D24" i="4"/>
  <c r="E24" i="4" s="1"/>
  <c r="E19" i="4"/>
  <c r="E20" i="4" s="1"/>
  <c r="E26" i="4"/>
  <c r="F41" i="4"/>
  <c r="G41" i="4" s="1"/>
  <c r="F42" i="4"/>
  <c r="G42" i="4" s="1"/>
  <c r="G47" i="4"/>
  <c r="W120" i="6" l="1"/>
  <c r="U117" i="6"/>
  <c r="H117" i="6"/>
  <c r="G117" i="6"/>
  <c r="F117" i="6"/>
  <c r="E117" i="6"/>
  <c r="D117" i="6"/>
  <c r="C117" i="6"/>
  <c r="B117" i="6"/>
  <c r="U116" i="6"/>
  <c r="H116" i="6"/>
  <c r="G116" i="6"/>
  <c r="F116" i="6"/>
  <c r="Z116" i="6" s="1"/>
  <c r="E116" i="6"/>
  <c r="Y116" i="6" s="1"/>
  <c r="D116" i="6"/>
  <c r="P116" i="6" s="1"/>
  <c r="C116" i="6"/>
  <c r="W116" i="6" s="1"/>
  <c r="B116" i="6"/>
  <c r="U115" i="6"/>
  <c r="H115" i="6"/>
  <c r="AB115" i="6" s="1"/>
  <c r="G115" i="6"/>
  <c r="F115" i="6"/>
  <c r="E115" i="6"/>
  <c r="D115" i="6"/>
  <c r="C115" i="6"/>
  <c r="B115" i="6"/>
  <c r="U114" i="6"/>
  <c r="H114" i="6"/>
  <c r="G114" i="6"/>
  <c r="F114" i="6"/>
  <c r="E114" i="6"/>
  <c r="D114" i="6"/>
  <c r="C114" i="6"/>
  <c r="B114" i="6"/>
  <c r="U113" i="6"/>
  <c r="H113" i="6"/>
  <c r="G113" i="6"/>
  <c r="F113" i="6"/>
  <c r="E113" i="6"/>
  <c r="D113" i="6"/>
  <c r="C113" i="6"/>
  <c r="B113" i="6"/>
  <c r="U112" i="6"/>
  <c r="H112" i="6"/>
  <c r="G112" i="6"/>
  <c r="F112" i="6"/>
  <c r="E112" i="6"/>
  <c r="D112" i="6"/>
  <c r="C112" i="6"/>
  <c r="B112" i="6"/>
  <c r="U111" i="6"/>
  <c r="H111" i="6"/>
  <c r="G111" i="6"/>
  <c r="F111" i="6"/>
  <c r="E111" i="6"/>
  <c r="D111" i="6"/>
  <c r="C111" i="6"/>
  <c r="B111" i="6"/>
  <c r="U110" i="6"/>
  <c r="H110" i="6"/>
  <c r="G110" i="6"/>
  <c r="F110" i="6"/>
  <c r="Z110" i="6" s="1"/>
  <c r="E110" i="6"/>
  <c r="D110" i="6"/>
  <c r="C110" i="6"/>
  <c r="W110" i="6" s="1"/>
  <c r="B110" i="6"/>
  <c r="U109" i="6"/>
  <c r="H109" i="6"/>
  <c r="AB109" i="6" s="1"/>
  <c r="G109" i="6"/>
  <c r="F109" i="6"/>
  <c r="E109" i="6"/>
  <c r="D109" i="6"/>
  <c r="C109" i="6"/>
  <c r="R109" i="6" s="1"/>
  <c r="B109" i="6"/>
  <c r="U108" i="6"/>
  <c r="H108" i="6"/>
  <c r="G108" i="6"/>
  <c r="F108" i="6"/>
  <c r="E108" i="6"/>
  <c r="D108" i="6"/>
  <c r="C108" i="6"/>
  <c r="B108" i="6"/>
  <c r="U107" i="6"/>
  <c r="H107" i="6"/>
  <c r="G107" i="6"/>
  <c r="F107" i="6"/>
  <c r="E107" i="6"/>
  <c r="D107" i="6"/>
  <c r="C107" i="6"/>
  <c r="B107" i="6"/>
  <c r="U106" i="6"/>
  <c r="H106" i="6"/>
  <c r="G106" i="6"/>
  <c r="F106" i="6"/>
  <c r="E106" i="6"/>
  <c r="D106" i="6"/>
  <c r="C106" i="6"/>
  <c r="B106" i="6"/>
  <c r="U105" i="6"/>
  <c r="H105" i="6"/>
  <c r="G105" i="6"/>
  <c r="F105" i="6"/>
  <c r="E105" i="6"/>
  <c r="D105" i="6"/>
  <c r="C105" i="6"/>
  <c r="B105" i="6"/>
  <c r="U104" i="6"/>
  <c r="H104" i="6"/>
  <c r="G104" i="6"/>
  <c r="F104" i="6"/>
  <c r="E104" i="6"/>
  <c r="D104" i="6"/>
  <c r="C104" i="6"/>
  <c r="B104" i="6"/>
  <c r="U103" i="6"/>
  <c r="H103" i="6"/>
  <c r="G103" i="6"/>
  <c r="F103" i="6"/>
  <c r="E103" i="6"/>
  <c r="D103" i="6"/>
  <c r="C103" i="6"/>
  <c r="B103" i="6"/>
  <c r="U102" i="6"/>
  <c r="H102" i="6"/>
  <c r="G102" i="6"/>
  <c r="F102" i="6"/>
  <c r="E102" i="6"/>
  <c r="D102" i="6"/>
  <c r="C102" i="6"/>
  <c r="B102" i="6"/>
  <c r="U101" i="6"/>
  <c r="H101" i="6"/>
  <c r="G101" i="6"/>
  <c r="F101" i="6"/>
  <c r="E101" i="6"/>
  <c r="D101" i="6"/>
  <c r="C101" i="6"/>
  <c r="B101" i="6"/>
  <c r="U100" i="6"/>
  <c r="H100" i="6"/>
  <c r="G100" i="6"/>
  <c r="F100" i="6"/>
  <c r="E100" i="6"/>
  <c r="D100" i="6"/>
  <c r="C100" i="6"/>
  <c r="B100" i="6"/>
  <c r="U99" i="6"/>
  <c r="H99" i="6"/>
  <c r="G99" i="6"/>
  <c r="F99" i="6"/>
  <c r="E99" i="6"/>
  <c r="Y99" i="6" s="1"/>
  <c r="D99" i="6"/>
  <c r="C99" i="6"/>
  <c r="B99" i="6"/>
  <c r="V99" i="6" s="1"/>
  <c r="U98" i="6"/>
  <c r="H98" i="6"/>
  <c r="G98" i="6"/>
  <c r="F98" i="6"/>
  <c r="E98" i="6"/>
  <c r="D98" i="6"/>
  <c r="X98" i="6" s="1"/>
  <c r="C98" i="6"/>
  <c r="W98" i="6" s="1"/>
  <c r="B98" i="6"/>
  <c r="U97" i="6"/>
  <c r="H97" i="6"/>
  <c r="G97" i="6"/>
  <c r="F97" i="6"/>
  <c r="Z97" i="6" s="1"/>
  <c r="E97" i="6"/>
  <c r="D97" i="6"/>
  <c r="C97" i="6"/>
  <c r="B97" i="6"/>
  <c r="U96" i="6"/>
  <c r="H96" i="6"/>
  <c r="G96" i="6"/>
  <c r="AA96" i="6" s="1"/>
  <c r="F96" i="6"/>
  <c r="Z96" i="6" s="1"/>
  <c r="E96" i="6"/>
  <c r="Y96" i="6" s="1"/>
  <c r="D96" i="6"/>
  <c r="X96" i="6" s="1"/>
  <c r="C96" i="6"/>
  <c r="B96" i="6"/>
  <c r="U95" i="6"/>
  <c r="H95" i="6"/>
  <c r="AB95" i="6" s="1"/>
  <c r="G95" i="6"/>
  <c r="AA95" i="6" s="1"/>
  <c r="F95" i="6"/>
  <c r="E95" i="6"/>
  <c r="D95" i="6"/>
  <c r="C95" i="6"/>
  <c r="B95" i="6"/>
  <c r="V95" i="6" s="1"/>
  <c r="U94" i="6"/>
  <c r="H94" i="6"/>
  <c r="AB94" i="6" s="1"/>
  <c r="G94" i="6"/>
  <c r="F94" i="6"/>
  <c r="E94" i="6"/>
  <c r="D94" i="6"/>
  <c r="C94" i="6"/>
  <c r="B94" i="6"/>
  <c r="U93" i="6"/>
  <c r="H93" i="6"/>
  <c r="G93" i="6"/>
  <c r="F93" i="6"/>
  <c r="E93" i="6"/>
  <c r="D93" i="6"/>
  <c r="C93" i="6"/>
  <c r="B93" i="6"/>
  <c r="U92" i="6"/>
  <c r="H92" i="6"/>
  <c r="G92" i="6"/>
  <c r="F92" i="6"/>
  <c r="E92" i="6"/>
  <c r="D92" i="6"/>
  <c r="C92" i="6"/>
  <c r="B92" i="6"/>
  <c r="U91" i="6"/>
  <c r="H91" i="6"/>
  <c r="G91" i="6"/>
  <c r="F91" i="6"/>
  <c r="E91" i="6"/>
  <c r="D91" i="6"/>
  <c r="C91" i="6"/>
  <c r="B91" i="6"/>
  <c r="V91" i="6" s="1"/>
  <c r="U90" i="6"/>
  <c r="H90" i="6"/>
  <c r="AB90" i="6" s="1"/>
  <c r="G90" i="6"/>
  <c r="F90" i="6"/>
  <c r="Z90" i="6" s="1"/>
  <c r="E90" i="6"/>
  <c r="Y90" i="6" s="1"/>
  <c r="D90" i="6"/>
  <c r="X90" i="6" s="1"/>
  <c r="C90" i="6"/>
  <c r="B90" i="6"/>
  <c r="U89" i="6"/>
  <c r="H89" i="6"/>
  <c r="G89" i="6"/>
  <c r="F89" i="6"/>
  <c r="E89" i="6"/>
  <c r="D89" i="6"/>
  <c r="C89" i="6"/>
  <c r="B89" i="6"/>
  <c r="U88" i="6"/>
  <c r="H88" i="6"/>
  <c r="AB88" i="6" s="1"/>
  <c r="G88" i="6"/>
  <c r="F88" i="6"/>
  <c r="E88" i="6"/>
  <c r="D88" i="6"/>
  <c r="C88" i="6"/>
  <c r="B88" i="6"/>
  <c r="U87" i="6"/>
  <c r="H87" i="6"/>
  <c r="AB87" i="6" s="1"/>
  <c r="G87" i="6"/>
  <c r="F87" i="6"/>
  <c r="E87" i="6"/>
  <c r="D87" i="6"/>
  <c r="C87" i="6"/>
  <c r="B87" i="6"/>
  <c r="U86" i="6"/>
  <c r="H86" i="6"/>
  <c r="G86" i="6"/>
  <c r="F86" i="6"/>
  <c r="E86" i="6"/>
  <c r="D86" i="6"/>
  <c r="C86" i="6"/>
  <c r="B86" i="6"/>
  <c r="U85" i="6"/>
  <c r="H85" i="6"/>
  <c r="G85" i="6"/>
  <c r="F85" i="6"/>
  <c r="E85" i="6"/>
  <c r="Y85" i="6" s="1"/>
  <c r="D85" i="6"/>
  <c r="X85" i="6" s="1"/>
  <c r="C85" i="6"/>
  <c r="B85" i="6"/>
  <c r="U84" i="6"/>
  <c r="H84" i="6"/>
  <c r="G84" i="6"/>
  <c r="F84" i="6"/>
  <c r="E84" i="6"/>
  <c r="D84" i="6"/>
  <c r="C84" i="6"/>
  <c r="B84" i="6"/>
  <c r="U83" i="6"/>
  <c r="H83" i="6"/>
  <c r="G83" i="6"/>
  <c r="F83" i="6"/>
  <c r="E83" i="6"/>
  <c r="D83" i="6"/>
  <c r="C83" i="6"/>
  <c r="B83" i="6"/>
  <c r="U82" i="6"/>
  <c r="H82" i="6"/>
  <c r="AB82" i="6" s="1"/>
  <c r="G82" i="6"/>
  <c r="F82" i="6"/>
  <c r="E82" i="6"/>
  <c r="D82" i="6"/>
  <c r="C82" i="6"/>
  <c r="B82" i="6"/>
  <c r="U81" i="6"/>
  <c r="H81" i="6"/>
  <c r="G81" i="6"/>
  <c r="F81" i="6"/>
  <c r="E81" i="6"/>
  <c r="D81" i="6"/>
  <c r="C81" i="6"/>
  <c r="B81" i="6"/>
  <c r="U80" i="6"/>
  <c r="H80" i="6"/>
  <c r="G80" i="6"/>
  <c r="F80" i="6"/>
  <c r="E80" i="6"/>
  <c r="Y80" i="6" s="1"/>
  <c r="D80" i="6"/>
  <c r="X80" i="6" s="1"/>
  <c r="C80" i="6"/>
  <c r="W80" i="6" s="1"/>
  <c r="B80" i="6"/>
  <c r="U79" i="6"/>
  <c r="H79" i="6"/>
  <c r="G79" i="6"/>
  <c r="F79" i="6"/>
  <c r="E79" i="6"/>
  <c r="D79" i="6"/>
  <c r="C79" i="6"/>
  <c r="B79" i="6"/>
  <c r="U78" i="6"/>
  <c r="H78" i="6"/>
  <c r="G78" i="6"/>
  <c r="F78" i="6"/>
  <c r="E78" i="6"/>
  <c r="D78" i="6"/>
  <c r="C78" i="6"/>
  <c r="B78" i="6"/>
  <c r="U77" i="6"/>
  <c r="H77" i="6"/>
  <c r="G77" i="6"/>
  <c r="F77" i="6"/>
  <c r="E77" i="6"/>
  <c r="D77" i="6"/>
  <c r="C77" i="6"/>
  <c r="B77" i="6"/>
  <c r="U76" i="6"/>
  <c r="H76" i="6"/>
  <c r="G76" i="6"/>
  <c r="F76" i="6"/>
  <c r="E76" i="6"/>
  <c r="D76" i="6"/>
  <c r="X76" i="6" s="1"/>
  <c r="C76" i="6"/>
  <c r="W76" i="6" s="1"/>
  <c r="B76" i="6"/>
  <c r="U75" i="6"/>
  <c r="H75" i="6"/>
  <c r="G75" i="6"/>
  <c r="F75" i="6"/>
  <c r="E75" i="6"/>
  <c r="D75" i="6"/>
  <c r="C75" i="6"/>
  <c r="B75" i="6"/>
  <c r="R75" i="6" s="1"/>
  <c r="U74" i="6"/>
  <c r="H74" i="6"/>
  <c r="G74" i="6"/>
  <c r="F74" i="6"/>
  <c r="E74" i="6"/>
  <c r="D74" i="6"/>
  <c r="C74" i="6"/>
  <c r="B74" i="6"/>
  <c r="U73" i="6"/>
  <c r="H73" i="6"/>
  <c r="G73" i="6"/>
  <c r="F73" i="6"/>
  <c r="E73" i="6"/>
  <c r="D73" i="6"/>
  <c r="C73" i="6"/>
  <c r="B73" i="6"/>
  <c r="U72" i="6"/>
  <c r="H72" i="6"/>
  <c r="G72" i="6"/>
  <c r="F72" i="6"/>
  <c r="E72" i="6"/>
  <c r="D72" i="6"/>
  <c r="C72" i="6"/>
  <c r="B72" i="6"/>
  <c r="U71" i="6"/>
  <c r="H71" i="6"/>
  <c r="G71" i="6"/>
  <c r="F71" i="6"/>
  <c r="E71" i="6"/>
  <c r="D71" i="6"/>
  <c r="C71" i="6"/>
  <c r="B71" i="6"/>
  <c r="U70" i="6"/>
  <c r="H70" i="6"/>
  <c r="G70" i="6"/>
  <c r="F70" i="6"/>
  <c r="E70" i="6"/>
  <c r="D70" i="6"/>
  <c r="X70" i="6" s="1"/>
  <c r="C70" i="6"/>
  <c r="B70" i="6"/>
  <c r="U69" i="6"/>
  <c r="H69" i="6"/>
  <c r="G69" i="6"/>
  <c r="F69" i="6"/>
  <c r="E69" i="6"/>
  <c r="Y69" i="6" s="1"/>
  <c r="D69" i="6"/>
  <c r="C69" i="6"/>
  <c r="B69" i="6"/>
  <c r="R69" i="6" s="1"/>
  <c r="U68" i="6"/>
  <c r="H68" i="6"/>
  <c r="G68" i="6"/>
  <c r="F68" i="6"/>
  <c r="S68" i="6" s="1"/>
  <c r="E68" i="6"/>
  <c r="D68" i="6"/>
  <c r="C68" i="6"/>
  <c r="B68" i="6"/>
  <c r="U67" i="6"/>
  <c r="H67" i="6"/>
  <c r="G67" i="6"/>
  <c r="F67" i="6"/>
  <c r="E67" i="6"/>
  <c r="D67" i="6"/>
  <c r="C67" i="6"/>
  <c r="B67" i="6"/>
  <c r="U66" i="6"/>
  <c r="H66" i="6"/>
  <c r="AB66" i="6" s="1"/>
  <c r="G66" i="6"/>
  <c r="AA66" i="6" s="1"/>
  <c r="F66" i="6"/>
  <c r="Z66" i="6" s="1"/>
  <c r="E66" i="6"/>
  <c r="Y66" i="6" s="1"/>
  <c r="D66" i="6"/>
  <c r="X66" i="6" s="1"/>
  <c r="C66" i="6"/>
  <c r="B66" i="6"/>
  <c r="U65" i="6"/>
  <c r="H65" i="6"/>
  <c r="G65" i="6"/>
  <c r="F65" i="6"/>
  <c r="E65" i="6"/>
  <c r="Y65" i="6" s="1"/>
  <c r="D65" i="6"/>
  <c r="X65" i="6" s="1"/>
  <c r="C65" i="6"/>
  <c r="B65" i="6"/>
  <c r="U64" i="6"/>
  <c r="H64" i="6"/>
  <c r="G64" i="6"/>
  <c r="F64" i="6"/>
  <c r="E64" i="6"/>
  <c r="D64" i="6"/>
  <c r="C64" i="6"/>
  <c r="B64" i="6"/>
  <c r="U63" i="6"/>
  <c r="H63" i="6"/>
  <c r="AB63" i="6" s="1"/>
  <c r="G63" i="6"/>
  <c r="F63" i="6"/>
  <c r="Z63" i="6" s="1"/>
  <c r="E63" i="6"/>
  <c r="Y63" i="6" s="1"/>
  <c r="D63" i="6"/>
  <c r="C63" i="6"/>
  <c r="W63" i="6" s="1"/>
  <c r="B63" i="6"/>
  <c r="U62" i="6"/>
  <c r="H62" i="6"/>
  <c r="AB62" i="6" s="1"/>
  <c r="G62" i="6"/>
  <c r="F62" i="6"/>
  <c r="E62" i="6"/>
  <c r="D62" i="6"/>
  <c r="C62" i="6"/>
  <c r="B62" i="6"/>
  <c r="U61" i="6"/>
  <c r="H61" i="6"/>
  <c r="G61" i="6"/>
  <c r="F61" i="6"/>
  <c r="E61" i="6"/>
  <c r="D61" i="6"/>
  <c r="C61" i="6"/>
  <c r="B61" i="6"/>
  <c r="P61" i="6" s="1"/>
  <c r="U60" i="6"/>
  <c r="H60" i="6"/>
  <c r="G60" i="6"/>
  <c r="AA60" i="6" s="1"/>
  <c r="F60" i="6"/>
  <c r="E60" i="6"/>
  <c r="D60" i="6"/>
  <c r="C60" i="6"/>
  <c r="B60" i="6"/>
  <c r="U59" i="6"/>
  <c r="H59" i="6"/>
  <c r="G59" i="6"/>
  <c r="F59" i="6"/>
  <c r="E59" i="6"/>
  <c r="D59" i="6"/>
  <c r="C59" i="6"/>
  <c r="B59" i="6"/>
  <c r="U58" i="6"/>
  <c r="H58" i="6"/>
  <c r="G58" i="6"/>
  <c r="F58" i="6"/>
  <c r="E58" i="6"/>
  <c r="D58" i="6"/>
  <c r="C58" i="6"/>
  <c r="B58" i="6"/>
  <c r="U57" i="6"/>
  <c r="H57" i="6"/>
  <c r="AB57" i="6" s="1"/>
  <c r="G57" i="6"/>
  <c r="F57" i="6"/>
  <c r="E57" i="6"/>
  <c r="D57" i="6"/>
  <c r="C57" i="6"/>
  <c r="B57" i="6"/>
  <c r="U56" i="6"/>
  <c r="H56" i="6"/>
  <c r="G56" i="6"/>
  <c r="F56" i="6"/>
  <c r="E56" i="6"/>
  <c r="D56" i="6"/>
  <c r="C56" i="6"/>
  <c r="B56" i="6"/>
  <c r="U55" i="6"/>
  <c r="H55" i="6"/>
  <c r="AB55" i="6" s="1"/>
  <c r="G55" i="6"/>
  <c r="F55" i="6"/>
  <c r="E55" i="6"/>
  <c r="D55" i="6"/>
  <c r="C55" i="6"/>
  <c r="B55" i="6"/>
  <c r="U54" i="6"/>
  <c r="H54" i="6"/>
  <c r="G54" i="6"/>
  <c r="F54" i="6"/>
  <c r="E54" i="6"/>
  <c r="D54" i="6"/>
  <c r="C54" i="6"/>
  <c r="B54" i="6"/>
  <c r="U53" i="6"/>
  <c r="H53" i="6"/>
  <c r="G53" i="6"/>
  <c r="F53" i="6"/>
  <c r="E53" i="6"/>
  <c r="D53" i="6"/>
  <c r="C53" i="6"/>
  <c r="B53" i="6"/>
  <c r="U52" i="6"/>
  <c r="H52" i="6"/>
  <c r="G52" i="6"/>
  <c r="F52" i="6"/>
  <c r="E52" i="6"/>
  <c r="D52" i="6"/>
  <c r="C52" i="6"/>
  <c r="B52" i="6"/>
  <c r="U51" i="6"/>
  <c r="H51" i="6"/>
  <c r="G51" i="6"/>
  <c r="F51" i="6"/>
  <c r="E51" i="6"/>
  <c r="D51" i="6"/>
  <c r="C51" i="6"/>
  <c r="B51" i="6"/>
  <c r="U50" i="6"/>
  <c r="H50" i="6"/>
  <c r="G50" i="6"/>
  <c r="F50" i="6"/>
  <c r="E50" i="6"/>
  <c r="D50" i="6"/>
  <c r="C50" i="6"/>
  <c r="B50" i="6"/>
  <c r="U49" i="6"/>
  <c r="H49" i="6"/>
  <c r="G49" i="6"/>
  <c r="F49" i="6"/>
  <c r="E49" i="6"/>
  <c r="D49" i="6"/>
  <c r="C49" i="6"/>
  <c r="B49" i="6"/>
  <c r="U48" i="6"/>
  <c r="H48" i="6"/>
  <c r="G48" i="6"/>
  <c r="F48" i="6"/>
  <c r="E48" i="6"/>
  <c r="D48" i="6"/>
  <c r="C48" i="6"/>
  <c r="B48" i="6"/>
  <c r="U47" i="6"/>
  <c r="H47" i="6"/>
  <c r="G47" i="6"/>
  <c r="F47" i="6"/>
  <c r="E47" i="6"/>
  <c r="D47" i="6"/>
  <c r="C47" i="6"/>
  <c r="B47" i="6"/>
  <c r="U46" i="6"/>
  <c r="H46" i="6"/>
  <c r="G46" i="6"/>
  <c r="F46" i="6"/>
  <c r="E46" i="6"/>
  <c r="D46" i="6"/>
  <c r="C46" i="6"/>
  <c r="B46" i="6"/>
  <c r="U45" i="6"/>
  <c r="H45" i="6"/>
  <c r="G45" i="6"/>
  <c r="F45" i="6"/>
  <c r="Z45" i="6" s="1"/>
  <c r="E45" i="6"/>
  <c r="D45" i="6"/>
  <c r="C45" i="6"/>
  <c r="B45" i="6"/>
  <c r="U44" i="6"/>
  <c r="H44" i="6"/>
  <c r="G44" i="6"/>
  <c r="F44" i="6"/>
  <c r="E44" i="6"/>
  <c r="D44" i="6"/>
  <c r="C44" i="6"/>
  <c r="B44" i="6"/>
  <c r="U43" i="6"/>
  <c r="H43" i="6"/>
  <c r="G43" i="6"/>
  <c r="F43" i="6"/>
  <c r="E43" i="6"/>
  <c r="D43" i="6"/>
  <c r="C43" i="6"/>
  <c r="B43" i="6"/>
  <c r="U42" i="6"/>
  <c r="H42" i="6"/>
  <c r="AB42" i="6" s="1"/>
  <c r="G42" i="6"/>
  <c r="AA42" i="6" s="1"/>
  <c r="F42" i="6"/>
  <c r="Z42" i="6" s="1"/>
  <c r="E42" i="6"/>
  <c r="D42" i="6"/>
  <c r="C42" i="6"/>
  <c r="B42" i="6"/>
  <c r="U41" i="6"/>
  <c r="H41" i="6"/>
  <c r="G41" i="6"/>
  <c r="F41" i="6"/>
  <c r="Z41" i="6" s="1"/>
  <c r="E41" i="6"/>
  <c r="D41" i="6"/>
  <c r="C41" i="6"/>
  <c r="B41" i="6"/>
  <c r="U40" i="6"/>
  <c r="H40" i="6"/>
  <c r="AB40" i="6" s="1"/>
  <c r="G40" i="6"/>
  <c r="F40" i="6"/>
  <c r="E40" i="6"/>
  <c r="D40" i="6"/>
  <c r="C40" i="6"/>
  <c r="B40" i="6"/>
  <c r="U39" i="6"/>
  <c r="H39" i="6"/>
  <c r="AB39" i="6" s="1"/>
  <c r="G39" i="6"/>
  <c r="F39" i="6"/>
  <c r="E39" i="6"/>
  <c r="D39" i="6"/>
  <c r="C39" i="6"/>
  <c r="B39" i="6"/>
  <c r="U38" i="6"/>
  <c r="H38" i="6"/>
  <c r="G38" i="6"/>
  <c r="F38" i="6"/>
  <c r="E38" i="6"/>
  <c r="D38" i="6"/>
  <c r="C38" i="6"/>
  <c r="B38" i="6"/>
  <c r="U37" i="6"/>
  <c r="H37" i="6"/>
  <c r="G37" i="6"/>
  <c r="F37" i="6"/>
  <c r="E37" i="6"/>
  <c r="D37" i="6"/>
  <c r="C37" i="6"/>
  <c r="B37" i="6"/>
  <c r="U36" i="6"/>
  <c r="H36" i="6"/>
  <c r="G36" i="6"/>
  <c r="F36" i="6"/>
  <c r="E36" i="6"/>
  <c r="D36" i="6"/>
  <c r="C36" i="6"/>
  <c r="B36" i="6"/>
  <c r="U35" i="6"/>
  <c r="H35" i="6"/>
  <c r="AB35" i="6" s="1"/>
  <c r="G35" i="6"/>
  <c r="F35" i="6"/>
  <c r="E35" i="6"/>
  <c r="D35" i="6"/>
  <c r="C35" i="6"/>
  <c r="B35" i="6"/>
  <c r="U34" i="6"/>
  <c r="R34" i="6"/>
  <c r="H34" i="6"/>
  <c r="G34" i="6"/>
  <c r="F34" i="6"/>
  <c r="E34" i="6"/>
  <c r="D34" i="6"/>
  <c r="C34" i="6"/>
  <c r="B34" i="6"/>
  <c r="U33" i="6"/>
  <c r="H33" i="6"/>
  <c r="G33" i="6"/>
  <c r="AA33" i="6" s="1"/>
  <c r="F33" i="6"/>
  <c r="E33" i="6"/>
  <c r="D33" i="6"/>
  <c r="C33" i="6"/>
  <c r="B33" i="6"/>
  <c r="U32" i="6"/>
  <c r="V32" i="6" s="1"/>
  <c r="H32" i="6"/>
  <c r="G32" i="6"/>
  <c r="F32" i="6"/>
  <c r="E32" i="6"/>
  <c r="D32" i="6"/>
  <c r="C32" i="6"/>
  <c r="B32" i="6"/>
  <c r="U31" i="6"/>
  <c r="H31" i="6"/>
  <c r="G31" i="6"/>
  <c r="F31" i="6"/>
  <c r="E31" i="6"/>
  <c r="D31" i="6"/>
  <c r="C31" i="6"/>
  <c r="B31" i="6"/>
  <c r="U30" i="6"/>
  <c r="R30" i="6"/>
  <c r="H30" i="6"/>
  <c r="G30" i="6"/>
  <c r="F30" i="6"/>
  <c r="E30" i="6"/>
  <c r="D30" i="6"/>
  <c r="C30" i="6"/>
  <c r="B30" i="6"/>
  <c r="V30" i="6" s="1"/>
  <c r="U29" i="6"/>
  <c r="P29" i="6"/>
  <c r="H29" i="6"/>
  <c r="G29" i="6"/>
  <c r="F29" i="6"/>
  <c r="E29" i="6"/>
  <c r="D29" i="6"/>
  <c r="C29" i="6"/>
  <c r="B29" i="6"/>
  <c r="U28" i="6"/>
  <c r="H28" i="6"/>
  <c r="G28" i="6"/>
  <c r="F28" i="6"/>
  <c r="E28" i="6"/>
  <c r="D28" i="6"/>
  <c r="C28" i="6"/>
  <c r="B28" i="6"/>
  <c r="U27" i="6"/>
  <c r="AB27" i="6" s="1"/>
  <c r="H27" i="6"/>
  <c r="G27" i="6"/>
  <c r="F27" i="6"/>
  <c r="E27" i="6"/>
  <c r="D27" i="6"/>
  <c r="C27" i="6"/>
  <c r="B27" i="6"/>
  <c r="U26" i="6"/>
  <c r="X26" i="6" s="1"/>
  <c r="H26" i="6"/>
  <c r="G26" i="6"/>
  <c r="F26" i="6"/>
  <c r="E26" i="6"/>
  <c r="C26" i="6"/>
  <c r="B26" i="6"/>
  <c r="U25" i="6"/>
  <c r="H25" i="6"/>
  <c r="G25" i="6"/>
  <c r="F25" i="6"/>
  <c r="E25" i="6"/>
  <c r="C25" i="6"/>
  <c r="B25" i="6"/>
  <c r="U24" i="6"/>
  <c r="H24" i="6"/>
  <c r="G24" i="6"/>
  <c r="F24" i="6"/>
  <c r="E24" i="6"/>
  <c r="C24" i="6"/>
  <c r="B24" i="6"/>
  <c r="U23" i="6"/>
  <c r="R23" i="6"/>
  <c r="H23" i="6"/>
  <c r="G23" i="6"/>
  <c r="F23" i="6"/>
  <c r="E23" i="6"/>
  <c r="C23" i="6"/>
  <c r="B23" i="6"/>
  <c r="P23" i="6" s="1"/>
  <c r="U22" i="6"/>
  <c r="X22" i="6" s="1"/>
  <c r="P22" i="6"/>
  <c r="H22" i="6"/>
  <c r="G22" i="6"/>
  <c r="AA22" i="6" s="1"/>
  <c r="F22" i="6"/>
  <c r="E22" i="6"/>
  <c r="C22" i="6"/>
  <c r="J22" i="6" s="1"/>
  <c r="J23" i="6" s="1"/>
  <c r="J24" i="6" s="1"/>
  <c r="J25" i="6" s="1"/>
  <c r="B22" i="6"/>
  <c r="U21" i="6"/>
  <c r="X21" i="6" s="1"/>
  <c r="K21" i="6"/>
  <c r="K22" i="6" s="1"/>
  <c r="K23" i="6" s="1"/>
  <c r="K24" i="6" s="1"/>
  <c r="K25" i="6" s="1"/>
  <c r="K26" i="6" s="1"/>
  <c r="H21" i="6"/>
  <c r="G21" i="6"/>
  <c r="AA21" i="6" s="1"/>
  <c r="AH21" i="6" s="1"/>
  <c r="F21" i="6"/>
  <c r="M21" i="6" s="1"/>
  <c r="M22" i="6" s="1"/>
  <c r="M23" i="6" s="1"/>
  <c r="M24" i="6" s="1"/>
  <c r="M25" i="6" s="1"/>
  <c r="M26" i="6" s="1"/>
  <c r="E21" i="6"/>
  <c r="C21" i="6"/>
  <c r="B21" i="6"/>
  <c r="P21" i="6" s="1"/>
  <c r="AN43" i="2"/>
  <c r="BC43" i="2" s="1"/>
  <c r="AN42" i="2"/>
  <c r="BC42" i="2" s="1"/>
  <c r="AN41" i="2"/>
  <c r="BC41" i="2" s="1"/>
  <c r="AN40" i="2"/>
  <c r="BC40" i="2" s="1"/>
  <c r="AN39" i="2"/>
  <c r="BC39" i="2" s="1"/>
  <c r="AN38" i="2"/>
  <c r="BC38" i="2" s="1"/>
  <c r="AN37" i="2"/>
  <c r="BC37" i="2" s="1"/>
  <c r="AN36" i="2"/>
  <c r="BC36" i="2" s="1"/>
  <c r="AN35" i="2"/>
  <c r="BC35" i="2" s="1"/>
  <c r="AN34" i="2"/>
  <c r="BC34" i="2" s="1"/>
  <c r="AN33" i="2"/>
  <c r="BC33" i="2" s="1"/>
  <c r="AN32" i="2"/>
  <c r="BC32" i="2" s="1"/>
  <c r="AN31" i="2"/>
  <c r="BC31" i="2" s="1"/>
  <c r="AN30" i="2"/>
  <c r="BC30" i="2" s="1"/>
  <c r="AN29" i="2"/>
  <c r="BC29" i="2" s="1"/>
  <c r="AN28" i="2"/>
  <c r="BC28" i="2" s="1"/>
  <c r="AN27" i="2"/>
  <c r="BC27" i="2" s="1"/>
  <c r="AN26" i="2"/>
  <c r="BC26" i="2" s="1"/>
  <c r="AN25" i="2"/>
  <c r="BC25" i="2" s="1"/>
  <c r="AN24" i="2"/>
  <c r="BC24" i="2" s="1"/>
  <c r="AN23" i="2"/>
  <c r="BC23" i="2" s="1"/>
  <c r="AN22" i="2"/>
  <c r="BC22" i="2" s="1"/>
  <c r="AN21" i="2"/>
  <c r="BC21" i="2" s="1"/>
  <c r="AN20" i="2"/>
  <c r="BC20" i="2" s="1"/>
  <c r="AN19" i="2"/>
  <c r="BC19" i="2" s="1"/>
  <c r="AN18" i="2"/>
  <c r="BC18" i="2" s="1"/>
  <c r="AN17" i="2"/>
  <c r="BC17" i="2" s="1"/>
  <c r="AN16" i="2"/>
  <c r="BC16" i="2" s="1"/>
  <c r="AN15" i="2"/>
  <c r="BC15" i="2" s="1"/>
  <c r="AN14" i="2"/>
  <c r="BC14" i="2" s="1"/>
  <c r="AN13" i="2"/>
  <c r="BC13" i="2" s="1"/>
  <c r="AN12" i="2"/>
  <c r="BC12" i="2" s="1"/>
  <c r="AN11" i="2"/>
  <c r="BC11" i="2" s="1"/>
  <c r="AN10" i="2"/>
  <c r="BC10" i="2" s="1"/>
  <c r="AN9" i="2"/>
  <c r="BC9" i="2" s="1"/>
  <c r="W23" i="6" l="1"/>
  <c r="AB104" i="6"/>
  <c r="AA25" i="6"/>
  <c r="P71" i="6"/>
  <c r="P73" i="6"/>
  <c r="Q85" i="6"/>
  <c r="Z60" i="6"/>
  <c r="V41" i="6"/>
  <c r="V42" i="6"/>
  <c r="V45" i="6"/>
  <c r="V49" i="6"/>
  <c r="V57" i="6"/>
  <c r="V58" i="6"/>
  <c r="S59" i="6"/>
  <c r="Z74" i="6"/>
  <c r="Z83" i="6"/>
  <c r="F44" i="4"/>
  <c r="G44" i="4" s="1"/>
  <c r="W35" i="6"/>
  <c r="R40" i="6"/>
  <c r="R43" i="6"/>
  <c r="W45" i="6"/>
  <c r="R46" i="6"/>
  <c r="W47" i="6"/>
  <c r="W49" i="6"/>
  <c r="R50" i="6"/>
  <c r="R54" i="6"/>
  <c r="Q68" i="6"/>
  <c r="Q80" i="6"/>
  <c r="AA100" i="6"/>
  <c r="AA106" i="6"/>
  <c r="AA49" i="6"/>
  <c r="Q32" i="6"/>
  <c r="X35" i="6"/>
  <c r="X45" i="6"/>
  <c r="X46" i="6"/>
  <c r="R67" i="6"/>
  <c r="R81" i="6"/>
  <c r="AK99" i="6"/>
  <c r="S101" i="6"/>
  <c r="P103" i="6"/>
  <c r="Q108" i="6"/>
  <c r="P110" i="6"/>
  <c r="AB111" i="6"/>
  <c r="Y39" i="6"/>
  <c r="Q45" i="6"/>
  <c r="Y47" i="6"/>
  <c r="P63" i="6"/>
  <c r="R90" i="6"/>
  <c r="R92" i="6"/>
  <c r="R93" i="6"/>
  <c r="R94" i="6"/>
  <c r="R97" i="6"/>
  <c r="R107" i="6"/>
  <c r="R113" i="6"/>
  <c r="AA24" i="6"/>
  <c r="X27" i="6"/>
  <c r="AJ27" i="6" s="1"/>
  <c r="X51" i="6"/>
  <c r="X54" i="6"/>
  <c r="Z22" i="6"/>
  <c r="Y33" i="6"/>
  <c r="AB51" i="6"/>
  <c r="AA57" i="6"/>
  <c r="Y79" i="6"/>
  <c r="X101" i="6"/>
  <c r="V103" i="6"/>
  <c r="AA110" i="6"/>
  <c r="Z112" i="6"/>
  <c r="Y114" i="6"/>
  <c r="P105" i="6"/>
  <c r="W50" i="6"/>
  <c r="Q58" i="6"/>
  <c r="AB60" i="6"/>
  <c r="R70" i="6"/>
  <c r="R74" i="6"/>
  <c r="R99" i="6"/>
  <c r="R101" i="6"/>
  <c r="AB112" i="6"/>
  <c r="P69" i="6"/>
  <c r="P75" i="6"/>
  <c r="P100" i="6"/>
  <c r="V27" i="6"/>
  <c r="R55" i="6"/>
  <c r="V22" i="6"/>
  <c r="R25" i="6"/>
  <c r="S31" i="6"/>
  <c r="V33" i="6"/>
  <c r="X36" i="6"/>
  <c r="W38" i="6"/>
  <c r="AB45" i="6"/>
  <c r="Y51" i="6"/>
  <c r="Y54" i="6"/>
  <c r="X55" i="6"/>
  <c r="P57" i="6"/>
  <c r="X58" i="6"/>
  <c r="AA62" i="6"/>
  <c r="Z69" i="6"/>
  <c r="Z72" i="6"/>
  <c r="Z73" i="6"/>
  <c r="S85" i="6"/>
  <c r="AA85" i="6"/>
  <c r="AA89" i="6"/>
  <c r="AA97" i="6"/>
  <c r="Z98" i="6"/>
  <c r="Y108" i="6"/>
  <c r="X109" i="6"/>
  <c r="Q70" i="6"/>
  <c r="J26" i="6"/>
  <c r="J27" i="6" s="1"/>
  <c r="J28" i="6" s="1"/>
  <c r="J29" i="6" s="1"/>
  <c r="J30" i="6" s="1"/>
  <c r="J31" i="6" s="1"/>
  <c r="J32" i="6" s="1"/>
  <c r="J33" i="6" s="1"/>
  <c r="J34" i="6" s="1"/>
  <c r="J35" i="6" s="1"/>
  <c r="J36" i="6" s="1"/>
  <c r="J37" i="6" s="1"/>
  <c r="J38" i="6" s="1"/>
  <c r="J39" i="6" s="1"/>
  <c r="J40" i="6" s="1"/>
  <c r="J41" i="6" s="1"/>
  <c r="J42" i="6" s="1"/>
  <c r="J43" i="6" s="1"/>
  <c r="J44" i="6" s="1"/>
  <c r="J45" i="6" s="1"/>
  <c r="J46" i="6" s="1"/>
  <c r="J47" i="6" s="1"/>
  <c r="J48" i="6" s="1"/>
  <c r="J49" i="6" s="1"/>
  <c r="J50" i="6" s="1"/>
  <c r="J51" i="6" s="1"/>
  <c r="J52" i="6" s="1"/>
  <c r="J53" i="6" s="1"/>
  <c r="J54" i="6" s="1"/>
  <c r="J55" i="6" s="1"/>
  <c r="J56" i="6" s="1"/>
  <c r="J57" i="6" s="1"/>
  <c r="J58" i="6" s="1"/>
  <c r="J59" i="6" s="1"/>
  <c r="J60" i="6" s="1"/>
  <c r="J61" i="6" s="1"/>
  <c r="J62" i="6" s="1"/>
  <c r="J63" i="6" s="1"/>
  <c r="J64" i="6" s="1"/>
  <c r="J65" i="6" s="1"/>
  <c r="J66" i="6" s="1"/>
  <c r="J67" i="6" s="1"/>
  <c r="J68" i="6" s="1"/>
  <c r="J69" i="6" s="1"/>
  <c r="J70" i="6" s="1"/>
  <c r="J71" i="6" s="1"/>
  <c r="J72" i="6" s="1"/>
  <c r="J73" i="6" s="1"/>
  <c r="J74" i="6" s="1"/>
  <c r="J75" i="6" s="1"/>
  <c r="J76" i="6" s="1"/>
  <c r="J77" i="6" s="1"/>
  <c r="J78" i="6" s="1"/>
  <c r="J79" i="6" s="1"/>
  <c r="J80" i="6" s="1"/>
  <c r="J81" i="6" s="1"/>
  <c r="J82" i="6" s="1"/>
  <c r="J83" i="6" s="1"/>
  <c r="J84" i="6" s="1"/>
  <c r="J85" i="6" s="1"/>
  <c r="J86" i="6" s="1"/>
  <c r="J87" i="6" s="1"/>
  <c r="J88" i="6" s="1"/>
  <c r="J89" i="6" s="1"/>
  <c r="J90" i="6" s="1"/>
  <c r="J91" i="6" s="1"/>
  <c r="J92" i="6" s="1"/>
  <c r="J93" i="6" s="1"/>
  <c r="J94" i="6" s="1"/>
  <c r="J95" i="6" s="1"/>
  <c r="J96" i="6" s="1"/>
  <c r="J97" i="6" s="1"/>
  <c r="J98" i="6" s="1"/>
  <c r="J99" i="6" s="1"/>
  <c r="J100" i="6" s="1"/>
  <c r="J101" i="6" s="1"/>
  <c r="J102" i="6" s="1"/>
  <c r="J103" i="6" s="1"/>
  <c r="J104" i="6" s="1"/>
  <c r="J105" i="6" s="1"/>
  <c r="J106" i="6" s="1"/>
  <c r="J107" i="6" s="1"/>
  <c r="J108" i="6" s="1"/>
  <c r="J109" i="6" s="1"/>
  <c r="J110" i="6" s="1"/>
  <c r="J111" i="6" s="1"/>
  <c r="J112" i="6" s="1"/>
  <c r="J113" i="6" s="1"/>
  <c r="J114" i="6" s="1"/>
  <c r="J115" i="6" s="1"/>
  <c r="J116" i="6" s="1"/>
  <c r="J117" i="6" s="1"/>
  <c r="C125" i="6" s="1"/>
  <c r="R32" i="6"/>
  <c r="W43" i="6"/>
  <c r="R45" i="6"/>
  <c r="AA50" i="6"/>
  <c r="X60" i="6"/>
  <c r="S65" i="6"/>
  <c r="AA70" i="6"/>
  <c r="AA72" i="6"/>
  <c r="X82" i="6"/>
  <c r="P86" i="6"/>
  <c r="P87" i="6"/>
  <c r="V88" i="6"/>
  <c r="AA98" i="6"/>
  <c r="Y110" i="6"/>
  <c r="R114" i="6"/>
  <c r="S116" i="6"/>
  <c r="AJ22" i="6"/>
  <c r="Y22" i="6"/>
  <c r="X33" i="6"/>
  <c r="AB50" i="6"/>
  <c r="Y60" i="6"/>
  <c r="AB72" i="6"/>
  <c r="Z81" i="6"/>
  <c r="Y82" i="6"/>
  <c r="AB98" i="6"/>
  <c r="AA108" i="6"/>
  <c r="Z109" i="6"/>
  <c r="Q112" i="6"/>
  <c r="X115" i="6"/>
  <c r="P117" i="6"/>
  <c r="R48" i="6"/>
  <c r="Y45" i="6"/>
  <c r="AK45" i="6" s="1"/>
  <c r="Z56" i="6"/>
  <c r="Z37" i="6"/>
  <c r="AA56" i="6"/>
  <c r="V56" i="6"/>
  <c r="Q56" i="6"/>
  <c r="R57" i="6"/>
  <c r="W57" i="6"/>
  <c r="R36" i="6"/>
  <c r="Z49" i="6"/>
  <c r="W59" i="6"/>
  <c r="R59" i="6"/>
  <c r="S70" i="6"/>
  <c r="Z70" i="6"/>
  <c r="Y56" i="6"/>
  <c r="X56" i="6"/>
  <c r="W51" i="6"/>
  <c r="R51" i="6"/>
  <c r="R52" i="6"/>
  <c r="V44" i="6"/>
  <c r="Q66" i="6"/>
  <c r="Z102" i="6"/>
  <c r="Z106" i="6"/>
  <c r="S110" i="6"/>
  <c r="Z111" i="6"/>
  <c r="R21" i="6"/>
  <c r="AB22" i="6"/>
  <c r="AA37" i="6"/>
  <c r="Z39" i="6"/>
  <c r="R42" i="6"/>
  <c r="W42" i="6"/>
  <c r="Q54" i="6"/>
  <c r="AB56" i="6"/>
  <c r="Y58" i="6"/>
  <c r="Z62" i="6"/>
  <c r="R65" i="6"/>
  <c r="AA68" i="6"/>
  <c r="R71" i="6"/>
  <c r="R83" i="6"/>
  <c r="P84" i="6"/>
  <c r="R95" i="6"/>
  <c r="Y98" i="6"/>
  <c r="AA102" i="6"/>
  <c r="AA104" i="6"/>
  <c r="AA111" i="6"/>
  <c r="S113" i="6"/>
  <c r="Q114" i="6"/>
  <c r="AA116" i="6"/>
  <c r="R117" i="6"/>
  <c r="Y21" i="6"/>
  <c r="AF21" i="6" s="1"/>
  <c r="AB28" i="6"/>
  <c r="AA30" i="6"/>
  <c r="Z33" i="6"/>
  <c r="AA39" i="6"/>
  <c r="Q41" i="6"/>
  <c r="P42" i="6"/>
  <c r="X42" i="6"/>
  <c r="AJ42" i="6" s="1"/>
  <c r="AA45" i="6"/>
  <c r="W46" i="6"/>
  <c r="Q47" i="6"/>
  <c r="R53" i="6"/>
  <c r="W58" i="6"/>
  <c r="AB68" i="6"/>
  <c r="R76" i="6"/>
  <c r="R78" i="6"/>
  <c r="P80" i="6"/>
  <c r="R84" i="6"/>
  <c r="W85" i="6"/>
  <c r="X86" i="6"/>
  <c r="V87" i="6"/>
  <c r="AB97" i="6"/>
  <c r="AB102" i="6"/>
  <c r="X110" i="6"/>
  <c r="AA112" i="6"/>
  <c r="V115" i="6"/>
  <c r="AJ115" i="6" s="1"/>
  <c r="AB116" i="6"/>
  <c r="S29" i="6"/>
  <c r="W48" i="6"/>
  <c r="S66" i="6"/>
  <c r="R87" i="6"/>
  <c r="Z99" i="6"/>
  <c r="S102" i="6"/>
  <c r="R115" i="6"/>
  <c r="AA23" i="6"/>
  <c r="R28" i="6"/>
  <c r="W29" i="6"/>
  <c r="R37" i="6"/>
  <c r="R44" i="6"/>
  <c r="Z46" i="6"/>
  <c r="P48" i="6"/>
  <c r="Z58" i="6"/>
  <c r="R61" i="6"/>
  <c r="Z68" i="6"/>
  <c r="Y76" i="6"/>
  <c r="P88" i="6"/>
  <c r="W97" i="6"/>
  <c r="AA99" i="6"/>
  <c r="R105" i="6"/>
  <c r="W106" i="6"/>
  <c r="R111" i="6"/>
  <c r="K27" i="6"/>
  <c r="K28" i="6" s="1"/>
  <c r="K29" i="6" s="1"/>
  <c r="K30" i="6" s="1"/>
  <c r="K31" i="6" s="1"/>
  <c r="K32" i="6" s="1"/>
  <c r="K33" i="6" s="1"/>
  <c r="K34" i="6" s="1"/>
  <c r="K35" i="6" s="1"/>
  <c r="K36" i="6" s="1"/>
  <c r="K37" i="6" s="1"/>
  <c r="K38" i="6" s="1"/>
  <c r="K39" i="6" s="1"/>
  <c r="K40" i="6" s="1"/>
  <c r="K41" i="6" s="1"/>
  <c r="K42" i="6" s="1"/>
  <c r="K43" i="6" s="1"/>
  <c r="K44" i="6" s="1"/>
  <c r="K45" i="6" s="1"/>
  <c r="K46" i="6" s="1"/>
  <c r="K47" i="6" s="1"/>
  <c r="K48" i="6" s="1"/>
  <c r="K49" i="6" s="1"/>
  <c r="K50" i="6" s="1"/>
  <c r="K51" i="6" s="1"/>
  <c r="K52" i="6" s="1"/>
  <c r="K53" i="6" s="1"/>
  <c r="K54" i="6" s="1"/>
  <c r="K55" i="6" s="1"/>
  <c r="K56" i="6" s="1"/>
  <c r="K57" i="6" s="1"/>
  <c r="K58" i="6" s="1"/>
  <c r="K59" i="6" s="1"/>
  <c r="K60" i="6" s="1"/>
  <c r="K61" i="6" s="1"/>
  <c r="K62" i="6" s="1"/>
  <c r="K63" i="6" s="1"/>
  <c r="K64" i="6" s="1"/>
  <c r="K65" i="6" s="1"/>
  <c r="K66" i="6" s="1"/>
  <c r="K67" i="6" s="1"/>
  <c r="K68" i="6" s="1"/>
  <c r="K69" i="6" s="1"/>
  <c r="K70" i="6" s="1"/>
  <c r="K71" i="6" s="1"/>
  <c r="K72" i="6" s="1"/>
  <c r="K73" i="6" s="1"/>
  <c r="K74" i="6" s="1"/>
  <c r="K75" i="6" s="1"/>
  <c r="K76" i="6" s="1"/>
  <c r="K77" i="6" s="1"/>
  <c r="K78" i="6" s="1"/>
  <c r="K79" i="6" s="1"/>
  <c r="K80" i="6" s="1"/>
  <c r="K81" i="6" s="1"/>
  <c r="K82" i="6" s="1"/>
  <c r="K83" i="6" s="1"/>
  <c r="K84" i="6" s="1"/>
  <c r="K85" i="6" s="1"/>
  <c r="K86" i="6" s="1"/>
  <c r="K87" i="6" s="1"/>
  <c r="K88" i="6" s="1"/>
  <c r="K89" i="6" s="1"/>
  <c r="K90" i="6" s="1"/>
  <c r="K91" i="6" s="1"/>
  <c r="K92" i="6" s="1"/>
  <c r="K93" i="6" s="1"/>
  <c r="K94" i="6" s="1"/>
  <c r="K95" i="6" s="1"/>
  <c r="K96" i="6" s="1"/>
  <c r="K97" i="6" s="1"/>
  <c r="K98" i="6" s="1"/>
  <c r="K99" i="6" s="1"/>
  <c r="K100" i="6" s="1"/>
  <c r="K101" i="6" s="1"/>
  <c r="K102" i="6" s="1"/>
  <c r="K103" i="6" s="1"/>
  <c r="K104" i="6" s="1"/>
  <c r="K105" i="6" s="1"/>
  <c r="K106" i="6" s="1"/>
  <c r="K107" i="6" s="1"/>
  <c r="K108" i="6" s="1"/>
  <c r="K109" i="6" s="1"/>
  <c r="K110" i="6" s="1"/>
  <c r="K111" i="6" s="1"/>
  <c r="K112" i="6" s="1"/>
  <c r="K113" i="6" s="1"/>
  <c r="K114" i="6" s="1"/>
  <c r="K115" i="6" s="1"/>
  <c r="K116" i="6" s="1"/>
  <c r="K117" i="6" s="1"/>
  <c r="X29" i="6"/>
  <c r="W30" i="6"/>
  <c r="P32" i="6"/>
  <c r="Z35" i="6"/>
  <c r="Y36" i="6"/>
  <c r="X38" i="6"/>
  <c r="AA41" i="6"/>
  <c r="P44" i="6"/>
  <c r="Z47" i="6"/>
  <c r="X50" i="6"/>
  <c r="AA54" i="6"/>
  <c r="Z55" i="6"/>
  <c r="AA58" i="6"/>
  <c r="R63" i="6"/>
  <c r="Y67" i="6"/>
  <c r="Z76" i="6"/>
  <c r="Z80" i="6"/>
  <c r="Q82" i="6"/>
  <c r="W82" i="6"/>
  <c r="Q88" i="6"/>
  <c r="W90" i="6"/>
  <c r="X97" i="6"/>
  <c r="AB99" i="6"/>
  <c r="Z100" i="6"/>
  <c r="X102" i="6"/>
  <c r="V109" i="6"/>
  <c r="AJ109" i="6" s="1"/>
  <c r="AB110" i="6"/>
  <c r="W112" i="6"/>
  <c r="Y112" i="6"/>
  <c r="S114" i="6"/>
  <c r="Y115" i="6"/>
  <c r="X116" i="6"/>
  <c r="S28" i="6"/>
  <c r="Z29" i="6"/>
  <c r="W56" i="6"/>
  <c r="R88" i="6"/>
  <c r="Y89" i="6"/>
  <c r="W22" i="6"/>
  <c r="Z24" i="6"/>
  <c r="Z27" i="6"/>
  <c r="Q39" i="6"/>
  <c r="R49" i="6"/>
  <c r="Y55" i="6"/>
  <c r="R68" i="6"/>
  <c r="S81" i="6"/>
  <c r="P82" i="6"/>
  <c r="Z85" i="6"/>
  <c r="Y100" i="6"/>
  <c r="R103" i="6"/>
  <c r="L21" i="6"/>
  <c r="L22" i="6" s="1"/>
  <c r="L23" i="6" s="1"/>
  <c r="L24" i="6" s="1"/>
  <c r="L25" i="6" s="1"/>
  <c r="L26" i="6" s="1"/>
  <c r="L27" i="6" s="1"/>
  <c r="L28" i="6" s="1"/>
  <c r="L29" i="6" s="1"/>
  <c r="L30" i="6" s="1"/>
  <c r="L31" i="6" s="1"/>
  <c r="L32" i="6" s="1"/>
  <c r="L33" i="6" s="1"/>
  <c r="L34" i="6" s="1"/>
  <c r="L35" i="6" s="1"/>
  <c r="L36" i="6" s="1"/>
  <c r="L37" i="6" s="1"/>
  <c r="L38" i="6" s="1"/>
  <c r="L39" i="6" s="1"/>
  <c r="L40" i="6" s="1"/>
  <c r="L41" i="6" s="1"/>
  <c r="L42" i="6" s="1"/>
  <c r="L43" i="6" s="1"/>
  <c r="L44" i="6" s="1"/>
  <c r="L45" i="6" s="1"/>
  <c r="L46" i="6" s="1"/>
  <c r="L47" i="6" s="1"/>
  <c r="L48" i="6" s="1"/>
  <c r="L49" i="6" s="1"/>
  <c r="L50" i="6" s="1"/>
  <c r="L51" i="6" s="1"/>
  <c r="L52" i="6" s="1"/>
  <c r="L53" i="6" s="1"/>
  <c r="L54" i="6" s="1"/>
  <c r="L55" i="6" s="1"/>
  <c r="L56" i="6" s="1"/>
  <c r="L57" i="6" s="1"/>
  <c r="L58" i="6" s="1"/>
  <c r="L59" i="6" s="1"/>
  <c r="L60" i="6" s="1"/>
  <c r="L61" i="6" s="1"/>
  <c r="L62" i="6" s="1"/>
  <c r="L63" i="6" s="1"/>
  <c r="L64" i="6" s="1"/>
  <c r="L65" i="6" s="1"/>
  <c r="L66" i="6" s="1"/>
  <c r="L67" i="6" s="1"/>
  <c r="L68" i="6" s="1"/>
  <c r="L69" i="6" s="1"/>
  <c r="L70" i="6" s="1"/>
  <c r="L71" i="6" s="1"/>
  <c r="L72" i="6" s="1"/>
  <c r="L73" i="6" s="1"/>
  <c r="L74" i="6" s="1"/>
  <c r="L75" i="6" s="1"/>
  <c r="L76" i="6" s="1"/>
  <c r="L77" i="6" s="1"/>
  <c r="L78" i="6" s="1"/>
  <c r="L79" i="6" s="1"/>
  <c r="L80" i="6" s="1"/>
  <c r="L81" i="6" s="1"/>
  <c r="L82" i="6" s="1"/>
  <c r="L83" i="6" s="1"/>
  <c r="L84" i="6" s="1"/>
  <c r="L85" i="6" s="1"/>
  <c r="L86" i="6" s="1"/>
  <c r="L87" i="6" s="1"/>
  <c r="L88" i="6" s="1"/>
  <c r="L89" i="6" s="1"/>
  <c r="L90" i="6" s="1"/>
  <c r="L91" i="6" s="1"/>
  <c r="L92" i="6" s="1"/>
  <c r="L93" i="6" s="1"/>
  <c r="L94" i="6" s="1"/>
  <c r="L95" i="6" s="1"/>
  <c r="L96" i="6" s="1"/>
  <c r="L97" i="6" s="1"/>
  <c r="L98" i="6" s="1"/>
  <c r="L99" i="6" s="1"/>
  <c r="L100" i="6" s="1"/>
  <c r="L101" i="6" s="1"/>
  <c r="L102" i="6" s="1"/>
  <c r="L103" i="6" s="1"/>
  <c r="L104" i="6" s="1"/>
  <c r="L105" i="6" s="1"/>
  <c r="L106" i="6" s="1"/>
  <c r="AB25" i="6"/>
  <c r="R33" i="6"/>
  <c r="W33" i="6"/>
  <c r="AA35" i="6"/>
  <c r="Y37" i="6"/>
  <c r="X39" i="6"/>
  <c r="Q44" i="6"/>
  <c r="Q49" i="6"/>
  <c r="X62" i="6"/>
  <c r="Z67" i="6"/>
  <c r="Y68" i="6"/>
  <c r="V71" i="6"/>
  <c r="X73" i="6"/>
  <c r="AA80" i="6"/>
  <c r="AB85" i="6"/>
  <c r="P90" i="6"/>
  <c r="W94" i="6"/>
  <c r="AB96" i="6"/>
  <c r="R98" i="6"/>
  <c r="Y102" i="6"/>
  <c r="Y106" i="6"/>
  <c r="Y111" i="6"/>
  <c r="X112" i="6"/>
  <c r="AB113" i="6"/>
  <c r="AA114" i="6"/>
  <c r="Z115" i="6"/>
  <c r="V117" i="6"/>
  <c r="X31" i="6"/>
  <c r="Y31" i="6"/>
  <c r="Z31" i="6"/>
  <c r="X32" i="6"/>
  <c r="AJ32" i="6" s="1"/>
  <c r="AA26" i="6"/>
  <c r="AB31" i="6"/>
  <c r="V37" i="6"/>
  <c r="P37" i="6"/>
  <c r="S37" i="6"/>
  <c r="AJ45" i="6"/>
  <c r="Q62" i="6"/>
  <c r="Y62" i="6"/>
  <c r="R31" i="6"/>
  <c r="W66" i="6"/>
  <c r="R66" i="6"/>
  <c r="W27" i="6"/>
  <c r="R27" i="6"/>
  <c r="W26" i="6"/>
  <c r="R26" i="6"/>
  <c r="R41" i="6"/>
  <c r="W41" i="6"/>
  <c r="Q77" i="6"/>
  <c r="R77" i="6"/>
  <c r="V79" i="6"/>
  <c r="R24" i="6"/>
  <c r="W24" i="6"/>
  <c r="Y26" i="6"/>
  <c r="AB64" i="6"/>
  <c r="Z64" i="6"/>
  <c r="Y64" i="6"/>
  <c r="R38" i="6"/>
  <c r="R73" i="6"/>
  <c r="W73" i="6"/>
  <c r="Q37" i="6"/>
  <c r="W86" i="6"/>
  <c r="R86" i="6"/>
  <c r="S89" i="6"/>
  <c r="R89" i="6"/>
  <c r="V89" i="6"/>
  <c r="W64" i="6"/>
  <c r="S107" i="6"/>
  <c r="P107" i="6"/>
  <c r="M27" i="6"/>
  <c r="M28" i="6" s="1"/>
  <c r="M29" i="6" s="1"/>
  <c r="M30" i="6" s="1"/>
  <c r="M31" i="6" s="1"/>
  <c r="M32" i="6" s="1"/>
  <c r="M33" i="6" s="1"/>
  <c r="M34" i="6" s="1"/>
  <c r="M35" i="6" s="1"/>
  <c r="M36" i="6" s="1"/>
  <c r="M37" i="6" s="1"/>
  <c r="M38" i="6" s="1"/>
  <c r="M39" i="6" s="1"/>
  <c r="M40" i="6" s="1"/>
  <c r="M41" i="6" s="1"/>
  <c r="M42" i="6" s="1"/>
  <c r="M43" i="6" s="1"/>
  <c r="M44" i="6" s="1"/>
  <c r="M45" i="6" s="1"/>
  <c r="M46" i="6" s="1"/>
  <c r="M47" i="6" s="1"/>
  <c r="M48" i="6" s="1"/>
  <c r="M49" i="6" s="1"/>
  <c r="M50" i="6" s="1"/>
  <c r="M51" i="6" s="1"/>
  <c r="M52" i="6" s="1"/>
  <c r="M53" i="6" s="1"/>
  <c r="M54" i="6" s="1"/>
  <c r="M55" i="6" s="1"/>
  <c r="M56" i="6" s="1"/>
  <c r="M57" i="6" s="1"/>
  <c r="M58" i="6" s="1"/>
  <c r="M59" i="6" s="1"/>
  <c r="M60" i="6" s="1"/>
  <c r="M61" i="6" s="1"/>
  <c r="M62" i="6" s="1"/>
  <c r="M63" i="6" s="1"/>
  <c r="M64" i="6" s="1"/>
  <c r="M65" i="6" s="1"/>
  <c r="M66" i="6" s="1"/>
  <c r="M67" i="6" s="1"/>
  <c r="M68" i="6" s="1"/>
  <c r="M69" i="6" s="1"/>
  <c r="M70" i="6" s="1"/>
  <c r="M71" i="6" s="1"/>
  <c r="M72" i="6" s="1"/>
  <c r="M73" i="6" s="1"/>
  <c r="M74" i="6" s="1"/>
  <c r="M75" i="6" s="1"/>
  <c r="M76" i="6" s="1"/>
  <c r="M77" i="6" s="1"/>
  <c r="M78" i="6" s="1"/>
  <c r="M79" i="6" s="1"/>
  <c r="M80" i="6" s="1"/>
  <c r="M81" i="6" s="1"/>
  <c r="M82" i="6" s="1"/>
  <c r="M83" i="6" s="1"/>
  <c r="M84" i="6" s="1"/>
  <c r="M85" i="6" s="1"/>
  <c r="M86" i="6" s="1"/>
  <c r="M87" i="6" s="1"/>
  <c r="M88" i="6" s="1"/>
  <c r="M89" i="6" s="1"/>
  <c r="M90" i="6" s="1"/>
  <c r="M91" i="6" s="1"/>
  <c r="M92" i="6" s="1"/>
  <c r="M93" i="6" s="1"/>
  <c r="M94" i="6" s="1"/>
  <c r="M95" i="6" s="1"/>
  <c r="M96" i="6" s="1"/>
  <c r="M97" i="6" s="1"/>
  <c r="M98" i="6" s="1"/>
  <c r="M99" i="6" s="1"/>
  <c r="M100" i="6" s="1"/>
  <c r="M101" i="6" s="1"/>
  <c r="M102" i="6" s="1"/>
  <c r="M103" i="6" s="1"/>
  <c r="M104" i="6" s="1"/>
  <c r="M105" i="6" s="1"/>
  <c r="M106" i="6" s="1"/>
  <c r="M107" i="6" s="1"/>
  <c r="M108" i="6" s="1"/>
  <c r="M109" i="6" s="1"/>
  <c r="M110" i="6" s="1"/>
  <c r="M111" i="6" s="1"/>
  <c r="M112" i="6" s="1"/>
  <c r="M113" i="6" s="1"/>
  <c r="M114" i="6" s="1"/>
  <c r="M115" i="6" s="1"/>
  <c r="M116" i="6" s="1"/>
  <c r="M117" i="6" s="1"/>
  <c r="F125" i="6" s="1"/>
  <c r="Z26" i="6"/>
  <c r="Y32" i="6"/>
  <c r="AK32" i="6" s="1"/>
  <c r="Y41" i="6"/>
  <c r="V29" i="6"/>
  <c r="W34" i="6"/>
  <c r="Y38" i="6"/>
  <c r="V40" i="6"/>
  <c r="S50" i="6"/>
  <c r="P50" i="6"/>
  <c r="S67" i="6"/>
  <c r="P67" i="6"/>
  <c r="X87" i="6"/>
  <c r="AH22" i="6"/>
  <c r="Q24" i="6"/>
  <c r="V26" i="6"/>
  <c r="AB29" i="6"/>
  <c r="S44" i="6"/>
  <c r="Z44" i="6"/>
  <c r="Z50" i="6"/>
  <c r="W53" i="6"/>
  <c r="AB54" i="6"/>
  <c r="P55" i="6"/>
  <c r="W55" i="6"/>
  <c r="R64" i="6"/>
  <c r="Y70" i="6"/>
  <c r="Y72" i="6"/>
  <c r="AB74" i="6"/>
  <c r="AA87" i="6"/>
  <c r="X88" i="6"/>
  <c r="AJ88" i="6" s="1"/>
  <c r="W102" i="6"/>
  <c r="R102" i="6"/>
  <c r="Z104" i="6"/>
  <c r="F122" i="6"/>
  <c r="P115" i="6"/>
  <c r="AA117" i="6"/>
  <c r="X100" i="6"/>
  <c r="AB117" i="6"/>
  <c r="W103" i="6"/>
  <c r="V107" i="6"/>
  <c r="W31" i="6"/>
  <c r="X44" i="6"/>
  <c r="Y49" i="6"/>
  <c r="AK49" i="6" s="1"/>
  <c r="V59" i="6"/>
  <c r="AB30" i="6"/>
  <c r="AB34" i="6"/>
  <c r="W54" i="6"/>
  <c r="V54" i="6"/>
  <c r="R58" i="6"/>
  <c r="X64" i="6"/>
  <c r="AA74" i="6"/>
  <c r="R79" i="6"/>
  <c r="R85" i="6"/>
  <c r="S94" i="6"/>
  <c r="V94" i="6"/>
  <c r="AB103" i="6"/>
  <c r="AB107" i="6"/>
  <c r="V112" i="6"/>
  <c r="P112" i="6"/>
  <c r="R112" i="6"/>
  <c r="V113" i="6"/>
  <c r="Q22" i="6"/>
  <c r="Z32" i="6"/>
  <c r="X103" i="6"/>
  <c r="AJ103" i="6" s="1"/>
  <c r="X107" i="6"/>
  <c r="S112" i="6"/>
  <c r="R29" i="6"/>
  <c r="W96" i="6"/>
  <c r="R96" i="6"/>
  <c r="P54" i="6"/>
  <c r="R56" i="6"/>
  <c r="S58" i="6"/>
  <c r="AB59" i="6"/>
  <c r="Y77" i="6"/>
  <c r="Z86" i="6"/>
  <c r="Q89" i="6"/>
  <c r="X94" i="6"/>
  <c r="V104" i="6"/>
  <c r="R104" i="6"/>
  <c r="B122" i="6"/>
  <c r="P108" i="6"/>
  <c r="S108" i="6"/>
  <c r="R22" i="6"/>
  <c r="W25" i="6"/>
  <c r="AB26" i="6"/>
  <c r="AA27" i="6"/>
  <c r="Q29" i="6"/>
  <c r="X34" i="6"/>
  <c r="R35" i="6"/>
  <c r="W36" i="6"/>
  <c r="Z38" i="6"/>
  <c r="P39" i="6"/>
  <c r="W40" i="6"/>
  <c r="Y40" i="6"/>
  <c r="AA44" i="6"/>
  <c r="AB49" i="6"/>
  <c r="V50" i="6"/>
  <c r="S52" i="6"/>
  <c r="AA55" i="6"/>
  <c r="S56" i="6"/>
  <c r="Y59" i="6"/>
  <c r="W65" i="6"/>
  <c r="AB70" i="6"/>
  <c r="S72" i="6"/>
  <c r="AA73" i="6"/>
  <c r="Y74" i="6"/>
  <c r="R80" i="6"/>
  <c r="R82" i="6"/>
  <c r="Z89" i="6"/>
  <c r="AB100" i="6"/>
  <c r="W101" i="6"/>
  <c r="V101" i="6"/>
  <c r="Y103" i="6"/>
  <c r="AK103" i="6" s="1"/>
  <c r="R108" i="6"/>
  <c r="P26" i="6"/>
  <c r="Y30" i="6"/>
  <c r="AK30" i="6" s="1"/>
  <c r="AA31" i="6"/>
  <c r="AB32" i="6"/>
  <c r="S33" i="6"/>
  <c r="Y34" i="6"/>
  <c r="Y35" i="6"/>
  <c r="P36" i="6"/>
  <c r="AA38" i="6"/>
  <c r="P40" i="6"/>
  <c r="AB41" i="6"/>
  <c r="AB44" i="6"/>
  <c r="Z59" i="6"/>
  <c r="Y61" i="6"/>
  <c r="V62" i="6"/>
  <c r="S62" i="6"/>
  <c r="R62" i="6"/>
  <c r="AA64" i="6"/>
  <c r="W72" i="6"/>
  <c r="R72" i="6"/>
  <c r="AB73" i="6"/>
  <c r="V76" i="6"/>
  <c r="Q87" i="6"/>
  <c r="Y87" i="6"/>
  <c r="Y94" i="6"/>
  <c r="R106" i="6"/>
  <c r="Z108" i="6"/>
  <c r="Y113" i="6"/>
  <c r="Z21" i="6"/>
  <c r="AG21" i="6" s="1"/>
  <c r="Q23" i="6"/>
  <c r="Q26" i="6"/>
  <c r="Z28" i="6"/>
  <c r="AA29" i="6"/>
  <c r="Y29" i="6"/>
  <c r="Z30" i="6"/>
  <c r="Z34" i="6"/>
  <c r="Q36" i="6"/>
  <c r="AB37" i="6"/>
  <c r="AB38" i="6"/>
  <c r="W39" i="6"/>
  <c r="R39" i="6"/>
  <c r="Q40" i="6"/>
  <c r="P45" i="6"/>
  <c r="R47" i="6"/>
  <c r="W60" i="6"/>
  <c r="R60" i="6"/>
  <c r="Z61" i="6"/>
  <c r="X63" i="6"/>
  <c r="W88" i="6"/>
  <c r="W91" i="6"/>
  <c r="R91" i="6"/>
  <c r="S100" i="6"/>
  <c r="Y104" i="6"/>
  <c r="V106" i="6"/>
  <c r="Q106" i="6"/>
  <c r="S106" i="6"/>
  <c r="AA107" i="6"/>
  <c r="P109" i="6"/>
  <c r="Z114" i="6"/>
  <c r="Z117" i="6"/>
  <c r="AB58" i="6"/>
  <c r="AA59" i="6"/>
  <c r="P65" i="6"/>
  <c r="X67" i="6"/>
  <c r="X72" i="6"/>
  <c r="V73" i="6"/>
  <c r="Z77" i="6"/>
  <c r="Z82" i="6"/>
  <c r="AA86" i="6"/>
  <c r="V100" i="6"/>
  <c r="Q100" i="6"/>
  <c r="AA101" i="6"/>
  <c r="W104" i="6"/>
  <c r="AB106" i="6"/>
  <c r="S109" i="6"/>
  <c r="X111" i="6"/>
  <c r="Z113" i="6"/>
  <c r="V114" i="6"/>
  <c r="S115" i="6"/>
  <c r="X117" i="6"/>
  <c r="W70" i="6"/>
  <c r="Y73" i="6"/>
  <c r="AA82" i="6"/>
  <c r="AB86" i="6"/>
  <c r="P89" i="6"/>
  <c r="X89" i="6"/>
  <c r="AA93" i="6"/>
  <c r="W100" i="6"/>
  <c r="R100" i="6"/>
  <c r="AB101" i="6"/>
  <c r="X104" i="6"/>
  <c r="X108" i="6"/>
  <c r="AA113" i="6"/>
  <c r="W114" i="6"/>
  <c r="Y117" i="6"/>
  <c r="AB46" i="6"/>
  <c r="AA47" i="6"/>
  <c r="V48" i="6"/>
  <c r="P56" i="6"/>
  <c r="S57" i="6"/>
  <c r="X57" i="6"/>
  <c r="P59" i="6"/>
  <c r="X59" i="6"/>
  <c r="AA61" i="6"/>
  <c r="W62" i="6"/>
  <c r="S63" i="6"/>
  <c r="V63" i="6"/>
  <c r="Z65" i="6"/>
  <c r="W74" i="6"/>
  <c r="AB76" i="6"/>
  <c r="W77" i="6"/>
  <c r="AB80" i="6"/>
  <c r="Y83" i="6"/>
  <c r="Z87" i="6"/>
  <c r="Z88" i="6"/>
  <c r="AB89" i="6"/>
  <c r="Q90" i="6"/>
  <c r="V90" i="6"/>
  <c r="Y91" i="6"/>
  <c r="AK91" i="6" s="1"/>
  <c r="W99" i="6"/>
  <c r="P101" i="6"/>
  <c r="Z103" i="6"/>
  <c r="Y107" i="6"/>
  <c r="AA109" i="6"/>
  <c r="V110" i="6"/>
  <c r="Q110" i="6"/>
  <c r="AA115" i="6"/>
  <c r="V116" i="6"/>
  <c r="Q116" i="6"/>
  <c r="X74" i="6"/>
  <c r="X77" i="6"/>
  <c r="Z79" i="6"/>
  <c r="S84" i="6"/>
  <c r="Q84" i="6"/>
  <c r="AA88" i="6"/>
  <c r="Z91" i="6"/>
  <c r="P94" i="6"/>
  <c r="AA103" i="6"/>
  <c r="Z107" i="6"/>
  <c r="R110" i="6"/>
  <c r="S111" i="6"/>
  <c r="V111" i="6"/>
  <c r="AB114" i="6"/>
  <c r="R116" i="6"/>
  <c r="S117" i="6"/>
  <c r="AB23" i="6"/>
  <c r="S38" i="6"/>
  <c r="Q38" i="6"/>
  <c r="P38" i="6"/>
  <c r="H120" i="6"/>
  <c r="O21" i="6"/>
  <c r="O22" i="6" s="1"/>
  <c r="O23" i="6" s="1"/>
  <c r="O24" i="6" s="1"/>
  <c r="O25" i="6" s="1"/>
  <c r="O26" i="6" s="1"/>
  <c r="O27" i="6" s="1"/>
  <c r="O28" i="6" s="1"/>
  <c r="O29" i="6" s="1"/>
  <c r="O30" i="6" s="1"/>
  <c r="O31" i="6" s="1"/>
  <c r="O32" i="6" s="1"/>
  <c r="O33" i="6" s="1"/>
  <c r="O34" i="6" s="1"/>
  <c r="O35" i="6" s="1"/>
  <c r="O36" i="6" s="1"/>
  <c r="O37" i="6" s="1"/>
  <c r="O38" i="6" s="1"/>
  <c r="O39" i="6" s="1"/>
  <c r="O40" i="6" s="1"/>
  <c r="O41" i="6" s="1"/>
  <c r="O42" i="6" s="1"/>
  <c r="O43" i="6" s="1"/>
  <c r="O44" i="6" s="1"/>
  <c r="O45" i="6" s="1"/>
  <c r="O46" i="6" s="1"/>
  <c r="O47" i="6" s="1"/>
  <c r="O48" i="6" s="1"/>
  <c r="O49" i="6" s="1"/>
  <c r="O50" i="6" s="1"/>
  <c r="O51" i="6" s="1"/>
  <c r="O52" i="6" s="1"/>
  <c r="O53" i="6" s="1"/>
  <c r="O54" i="6" s="1"/>
  <c r="O55" i="6" s="1"/>
  <c r="O56" i="6" s="1"/>
  <c r="O57" i="6" s="1"/>
  <c r="O58" i="6" s="1"/>
  <c r="O59" i="6" s="1"/>
  <c r="O60" i="6" s="1"/>
  <c r="O61" i="6" s="1"/>
  <c r="O62" i="6" s="1"/>
  <c r="O63" i="6" s="1"/>
  <c r="O64" i="6" s="1"/>
  <c r="O65" i="6" s="1"/>
  <c r="O66" i="6" s="1"/>
  <c r="O67" i="6" s="1"/>
  <c r="O68" i="6" s="1"/>
  <c r="O69" i="6" s="1"/>
  <c r="O70" i="6" s="1"/>
  <c r="O71" i="6" s="1"/>
  <c r="O72" i="6" s="1"/>
  <c r="O73" i="6" s="1"/>
  <c r="O74" i="6" s="1"/>
  <c r="O75" i="6" s="1"/>
  <c r="O76" i="6" s="1"/>
  <c r="O77" i="6" s="1"/>
  <c r="O78" i="6" s="1"/>
  <c r="O79" i="6" s="1"/>
  <c r="O80" i="6" s="1"/>
  <c r="O81" i="6" s="1"/>
  <c r="O82" i="6" s="1"/>
  <c r="O83" i="6" s="1"/>
  <c r="O84" i="6" s="1"/>
  <c r="O85" i="6" s="1"/>
  <c r="O86" i="6" s="1"/>
  <c r="O87" i="6" s="1"/>
  <c r="O88" i="6" s="1"/>
  <c r="O89" i="6" s="1"/>
  <c r="O90" i="6" s="1"/>
  <c r="O91" i="6" s="1"/>
  <c r="O92" i="6" s="1"/>
  <c r="O93" i="6" s="1"/>
  <c r="O94" i="6" s="1"/>
  <c r="O95" i="6" s="1"/>
  <c r="O96" i="6" s="1"/>
  <c r="O97" i="6" s="1"/>
  <c r="O98" i="6" s="1"/>
  <c r="O99" i="6" s="1"/>
  <c r="O100" i="6" s="1"/>
  <c r="O101" i="6" s="1"/>
  <c r="O102" i="6" s="1"/>
  <c r="O103" i="6" s="1"/>
  <c r="O104" i="6" s="1"/>
  <c r="O105" i="6" s="1"/>
  <c r="O106" i="6" s="1"/>
  <c r="S21" i="6"/>
  <c r="X24" i="6"/>
  <c r="AB24" i="6"/>
  <c r="X28" i="6"/>
  <c r="P28" i="6"/>
  <c r="Y75" i="6"/>
  <c r="X75" i="6"/>
  <c r="V75" i="6"/>
  <c r="I21" i="6"/>
  <c r="I22" i="6" s="1"/>
  <c r="I23" i="6" s="1"/>
  <c r="I24" i="6" s="1"/>
  <c r="I25" i="6" s="1"/>
  <c r="I26" i="6" s="1"/>
  <c r="I27" i="6" s="1"/>
  <c r="I28" i="6" s="1"/>
  <c r="I29" i="6" s="1"/>
  <c r="I30" i="6" s="1"/>
  <c r="I31" i="6" s="1"/>
  <c r="I32" i="6" s="1"/>
  <c r="I33" i="6" s="1"/>
  <c r="I34" i="6" s="1"/>
  <c r="I35" i="6" s="1"/>
  <c r="I36" i="6" s="1"/>
  <c r="I37" i="6" s="1"/>
  <c r="I38" i="6" s="1"/>
  <c r="I39" i="6" s="1"/>
  <c r="I40" i="6" s="1"/>
  <c r="I41" i="6" s="1"/>
  <c r="I42" i="6" s="1"/>
  <c r="I43" i="6" s="1"/>
  <c r="I44" i="6" s="1"/>
  <c r="I45" i="6" s="1"/>
  <c r="I46" i="6" s="1"/>
  <c r="I47" i="6" s="1"/>
  <c r="I48" i="6" s="1"/>
  <c r="I49" i="6" s="1"/>
  <c r="I50" i="6" s="1"/>
  <c r="I51" i="6" s="1"/>
  <c r="I52" i="6" s="1"/>
  <c r="I53" i="6" s="1"/>
  <c r="AE21" i="6"/>
  <c r="AE22" i="6" s="1"/>
  <c r="Z23" i="6"/>
  <c r="V24" i="6"/>
  <c r="AA32" i="6"/>
  <c r="W32" i="6"/>
  <c r="Q42" i="6"/>
  <c r="Y42" i="6"/>
  <c r="AK42" i="6" s="1"/>
  <c r="Q51" i="6"/>
  <c r="S51" i="6"/>
  <c r="P51" i="6"/>
  <c r="V51" i="6"/>
  <c r="AB53" i="6"/>
  <c r="AA81" i="6"/>
  <c r="Y81" i="6"/>
  <c r="AB81" i="6"/>
  <c r="V25" i="6"/>
  <c r="Q25" i="6"/>
  <c r="V23" i="6"/>
  <c r="P25" i="6"/>
  <c r="V31" i="6"/>
  <c r="P31" i="6"/>
  <c r="V43" i="6"/>
  <c r="X23" i="6"/>
  <c r="AA28" i="6"/>
  <c r="Q30" i="6"/>
  <c r="P30" i="6"/>
  <c r="S30" i="6"/>
  <c r="AA34" i="6"/>
  <c r="V34" i="6"/>
  <c r="Z43" i="6"/>
  <c r="P52" i="6"/>
  <c r="X52" i="6"/>
  <c r="Z52" i="6"/>
  <c r="V52" i="6"/>
  <c r="P53" i="6"/>
  <c r="X53" i="6"/>
  <c r="V53" i="6"/>
  <c r="D121" i="6"/>
  <c r="X68" i="6"/>
  <c r="AB75" i="6"/>
  <c r="X78" i="6"/>
  <c r="X105" i="6"/>
  <c r="W105" i="6"/>
  <c r="V105" i="6"/>
  <c r="B120" i="6"/>
  <c r="V21" i="6"/>
  <c r="S27" i="6"/>
  <c r="X43" i="6"/>
  <c r="S48" i="6"/>
  <c r="Z48" i="6"/>
  <c r="AB78" i="6"/>
  <c r="W78" i="6"/>
  <c r="V78" i="6"/>
  <c r="Y28" i="6"/>
  <c r="S25" i="6"/>
  <c r="Q21" i="6"/>
  <c r="Y23" i="6"/>
  <c r="AB36" i="6"/>
  <c r="V36" i="6"/>
  <c r="AA43" i="6"/>
  <c r="Q52" i="6"/>
  <c r="Y52" i="6"/>
  <c r="S54" i="6"/>
  <c r="Z54" i="6"/>
  <c r="P62" i="6"/>
  <c r="Y86" i="6"/>
  <c r="Q86" i="6"/>
  <c r="Q27" i="6"/>
  <c r="Y27" i="6"/>
  <c r="AK27" i="6" s="1"/>
  <c r="Q48" i="6"/>
  <c r="Y48" i="6"/>
  <c r="S32" i="6"/>
  <c r="S41" i="6"/>
  <c r="Y44" i="6"/>
  <c r="AB21" i="6"/>
  <c r="S23" i="6"/>
  <c r="X25" i="6"/>
  <c r="Z25" i="6"/>
  <c r="V28" i="6"/>
  <c r="Q28" i="6"/>
  <c r="Q31" i="6"/>
  <c r="G120" i="6"/>
  <c r="N21" i="6"/>
  <c r="N22" i="6" s="1"/>
  <c r="N23" i="6" s="1"/>
  <c r="N24" i="6" s="1"/>
  <c r="N25" i="6" s="1"/>
  <c r="N26" i="6" s="1"/>
  <c r="N27" i="6" s="1"/>
  <c r="N28" i="6" s="1"/>
  <c r="N29" i="6" s="1"/>
  <c r="N30" i="6" s="1"/>
  <c r="N31" i="6" s="1"/>
  <c r="N32" i="6" s="1"/>
  <c r="N33" i="6" s="1"/>
  <c r="N34" i="6" s="1"/>
  <c r="N35" i="6" s="1"/>
  <c r="N36" i="6" s="1"/>
  <c r="N37" i="6" s="1"/>
  <c r="N38" i="6" s="1"/>
  <c r="N39" i="6" s="1"/>
  <c r="N40" i="6" s="1"/>
  <c r="N41" i="6" s="1"/>
  <c r="N42" i="6" s="1"/>
  <c r="N43" i="6" s="1"/>
  <c r="N44" i="6" s="1"/>
  <c r="N45" i="6" s="1"/>
  <c r="N46" i="6" s="1"/>
  <c r="N47" i="6" s="1"/>
  <c r="N48" i="6" s="1"/>
  <c r="N49" i="6" s="1"/>
  <c r="N50" i="6" s="1"/>
  <c r="N51" i="6" s="1"/>
  <c r="N52" i="6" s="1"/>
  <c r="N53" i="6" s="1"/>
  <c r="N54" i="6" s="1"/>
  <c r="N55" i="6" s="1"/>
  <c r="N56" i="6" s="1"/>
  <c r="N57" i="6" s="1"/>
  <c r="N58" i="6" s="1"/>
  <c r="N59" i="6" s="1"/>
  <c r="N60" i="6" s="1"/>
  <c r="N61" i="6" s="1"/>
  <c r="N62" i="6" s="1"/>
  <c r="N63" i="6" s="1"/>
  <c r="N64" i="6" s="1"/>
  <c r="N65" i="6" s="1"/>
  <c r="N66" i="6" s="1"/>
  <c r="N67" i="6" s="1"/>
  <c r="N68" i="6" s="1"/>
  <c r="N69" i="6" s="1"/>
  <c r="N70" i="6" s="1"/>
  <c r="N71" i="6" s="1"/>
  <c r="N72" i="6" s="1"/>
  <c r="N73" i="6" s="1"/>
  <c r="N74" i="6" s="1"/>
  <c r="N75" i="6" s="1"/>
  <c r="N76" i="6" s="1"/>
  <c r="N77" i="6" s="1"/>
  <c r="N78" i="6" s="1"/>
  <c r="N79" i="6" s="1"/>
  <c r="N80" i="6" s="1"/>
  <c r="N81" i="6" s="1"/>
  <c r="N82" i="6" s="1"/>
  <c r="N83" i="6" s="1"/>
  <c r="N84" i="6" s="1"/>
  <c r="N85" i="6" s="1"/>
  <c r="N86" i="6" s="1"/>
  <c r="N87" i="6" s="1"/>
  <c r="N88" i="6" s="1"/>
  <c r="N89" i="6" s="1"/>
  <c r="N90" i="6" s="1"/>
  <c r="N91" i="6" s="1"/>
  <c r="N92" i="6" s="1"/>
  <c r="N93" i="6" s="1"/>
  <c r="N94" i="6" s="1"/>
  <c r="N95" i="6" s="1"/>
  <c r="N96" i="6" s="1"/>
  <c r="N97" i="6" s="1"/>
  <c r="N98" i="6" s="1"/>
  <c r="N99" i="6" s="1"/>
  <c r="N100" i="6" s="1"/>
  <c r="N101" i="6" s="1"/>
  <c r="N102" i="6" s="1"/>
  <c r="N103" i="6" s="1"/>
  <c r="N104" i="6" s="1"/>
  <c r="N105" i="6" s="1"/>
  <c r="N106" i="6" s="1"/>
  <c r="Y24" i="6"/>
  <c r="Y25" i="6"/>
  <c r="W28" i="6"/>
  <c r="X30" i="6"/>
  <c r="AJ30" i="6" s="1"/>
  <c r="V38" i="6"/>
  <c r="X40" i="6"/>
  <c r="AB43" i="6"/>
  <c r="P47" i="6"/>
  <c r="X47" i="6"/>
  <c r="Z53" i="6"/>
  <c r="X71" i="6"/>
  <c r="AJ71" i="6" s="1"/>
  <c r="W71" i="6"/>
  <c r="Z78" i="6"/>
  <c r="S24" i="6"/>
  <c r="D120" i="6"/>
  <c r="P34" i="6"/>
  <c r="S34" i="6"/>
  <c r="V35" i="6"/>
  <c r="S35" i="6"/>
  <c r="Y43" i="6"/>
  <c r="W52" i="6"/>
  <c r="Q53" i="6"/>
  <c r="Y53" i="6"/>
  <c r="X61" i="6"/>
  <c r="W61" i="6"/>
  <c r="V61" i="6"/>
  <c r="Y78" i="6"/>
  <c r="C120" i="6"/>
  <c r="S22" i="6"/>
  <c r="S26" i="6"/>
  <c r="P27" i="6"/>
  <c r="Z36" i="6"/>
  <c r="S42" i="6"/>
  <c r="Y46" i="6"/>
  <c r="Q46" i="6"/>
  <c r="AB48" i="6"/>
  <c r="S49" i="6"/>
  <c r="AA52" i="6"/>
  <c r="AB61" i="6"/>
  <c r="V64" i="6"/>
  <c r="P64" i="6"/>
  <c r="S64" i="6"/>
  <c r="Y71" i="6"/>
  <c r="AK71" i="6" s="1"/>
  <c r="V74" i="6"/>
  <c r="P74" i="6"/>
  <c r="Q74" i="6"/>
  <c r="P91" i="6"/>
  <c r="X91" i="6"/>
  <c r="AJ91" i="6" s="1"/>
  <c r="E120" i="6"/>
  <c r="W21" i="6"/>
  <c r="P24" i="6"/>
  <c r="P33" i="6"/>
  <c r="P35" i="6"/>
  <c r="AA36" i="6"/>
  <c r="W37" i="6"/>
  <c r="S40" i="6"/>
  <c r="Z40" i="6"/>
  <c r="X41" i="6"/>
  <c r="AJ41" i="6" s="1"/>
  <c r="Q43" i="6"/>
  <c r="S43" i="6"/>
  <c r="P43" i="6"/>
  <c r="W44" i="6"/>
  <c r="AB47" i="6"/>
  <c r="X48" i="6"/>
  <c r="Q50" i="6"/>
  <c r="Y50" i="6"/>
  <c r="AB52" i="6"/>
  <c r="Z71" i="6"/>
  <c r="Z75" i="6"/>
  <c r="Q93" i="6"/>
  <c r="P93" i="6"/>
  <c r="S93" i="6"/>
  <c r="V93" i="6"/>
  <c r="F120" i="6"/>
  <c r="AB33" i="6"/>
  <c r="Q33" i="6"/>
  <c r="Q34" i="6"/>
  <c r="Q35" i="6"/>
  <c r="S36" i="6"/>
  <c r="X37" i="6"/>
  <c r="AA40" i="6"/>
  <c r="P41" i="6"/>
  <c r="AA46" i="6"/>
  <c r="V46" i="6"/>
  <c r="X49" i="6"/>
  <c r="AJ49" i="6" s="1"/>
  <c r="P49" i="6"/>
  <c r="AA51" i="6"/>
  <c r="V60" i="6"/>
  <c r="S60" i="6"/>
  <c r="Q60" i="6"/>
  <c r="P60" i="6"/>
  <c r="Q64" i="6"/>
  <c r="X69" i="6"/>
  <c r="W69" i="6"/>
  <c r="V69" i="6"/>
  <c r="AA71" i="6"/>
  <c r="S74" i="6"/>
  <c r="AA75" i="6"/>
  <c r="AB79" i="6"/>
  <c r="AA79" i="6"/>
  <c r="AB83" i="6"/>
  <c r="AA83" i="6"/>
  <c r="H122" i="6"/>
  <c r="AB108" i="6"/>
  <c r="Q97" i="6"/>
  <c r="V97" i="6"/>
  <c r="S97" i="6"/>
  <c r="P97" i="6"/>
  <c r="V98" i="6"/>
  <c r="S98" i="6"/>
  <c r="Q98" i="6"/>
  <c r="P98" i="6"/>
  <c r="AA48" i="6"/>
  <c r="Z51" i="6"/>
  <c r="AA53" i="6"/>
  <c r="AA69" i="6"/>
  <c r="AB71" i="6"/>
  <c r="V72" i="6"/>
  <c r="P72" i="6"/>
  <c r="S75" i="6"/>
  <c r="P79" i="6"/>
  <c r="Q79" i="6"/>
  <c r="S79" i="6"/>
  <c r="Y84" i="6"/>
  <c r="X84" i="6"/>
  <c r="AB92" i="6"/>
  <c r="W92" i="6"/>
  <c r="X113" i="6"/>
  <c r="P113" i="6"/>
  <c r="V55" i="6"/>
  <c r="S61" i="6"/>
  <c r="AA67" i="6"/>
  <c r="V67" i="6"/>
  <c r="AB69" i="6"/>
  <c r="V70" i="6"/>
  <c r="P70" i="6"/>
  <c r="S73" i="6"/>
  <c r="AA77" i="6"/>
  <c r="AB77" i="6"/>
  <c r="W79" i="6"/>
  <c r="P83" i="6"/>
  <c r="V83" i="6"/>
  <c r="S83" i="6"/>
  <c r="Q83" i="6"/>
  <c r="AA84" i="6"/>
  <c r="V84" i="6"/>
  <c r="V92" i="6"/>
  <c r="S55" i="6"/>
  <c r="Y57" i="6"/>
  <c r="AK57" i="6" s="1"/>
  <c r="AA65" i="6"/>
  <c r="V65" i="6"/>
  <c r="AB67" i="6"/>
  <c r="W67" i="6"/>
  <c r="B121" i="6"/>
  <c r="V68" i="6"/>
  <c r="P68" i="6"/>
  <c r="S71" i="6"/>
  <c r="V77" i="6"/>
  <c r="S78" i="6"/>
  <c r="Q78" i="6"/>
  <c r="P78" i="6"/>
  <c r="X79" i="6"/>
  <c r="W83" i="6"/>
  <c r="AB84" i="6"/>
  <c r="W84" i="6"/>
  <c r="Y92" i="6"/>
  <c r="AB93" i="6"/>
  <c r="X106" i="6"/>
  <c r="P106" i="6"/>
  <c r="V39" i="6"/>
  <c r="S39" i="6"/>
  <c r="S45" i="6"/>
  <c r="P46" i="6"/>
  <c r="S46" i="6"/>
  <c r="V47" i="6"/>
  <c r="S47" i="6"/>
  <c r="S53" i="6"/>
  <c r="Z57" i="6"/>
  <c r="P58" i="6"/>
  <c r="AA63" i="6"/>
  <c r="AB65" i="6"/>
  <c r="V66" i="6"/>
  <c r="P66" i="6"/>
  <c r="C121" i="6"/>
  <c r="W68" i="6"/>
  <c r="S69" i="6"/>
  <c r="Q72" i="6"/>
  <c r="P81" i="6"/>
  <c r="V81" i="6"/>
  <c r="Q81" i="6"/>
  <c r="X83" i="6"/>
  <c r="Z92" i="6"/>
  <c r="H121" i="6"/>
  <c r="S76" i="6"/>
  <c r="S77" i="6"/>
  <c r="Z84" i="6"/>
  <c r="S91" i="6"/>
  <c r="X92" i="6"/>
  <c r="Z93" i="6"/>
  <c r="X114" i="6"/>
  <c r="P114" i="6"/>
  <c r="Y105" i="6"/>
  <c r="Q55" i="6"/>
  <c r="Q57" i="6"/>
  <c r="Q59" i="6"/>
  <c r="Q61" i="6"/>
  <c r="Q63" i="6"/>
  <c r="Q65" i="6"/>
  <c r="Q67" i="6"/>
  <c r="E121" i="6"/>
  <c r="Q69" i="6"/>
  <c r="Q71" i="6"/>
  <c r="Q73" i="6"/>
  <c r="Q75" i="6"/>
  <c r="AA76" i="6"/>
  <c r="P76" i="6"/>
  <c r="P77" i="6"/>
  <c r="W81" i="6"/>
  <c r="S87" i="6"/>
  <c r="Y88" i="6"/>
  <c r="AK88" i="6" s="1"/>
  <c r="AB91" i="6"/>
  <c r="AA91" i="6"/>
  <c r="W93" i="6"/>
  <c r="Q95" i="6"/>
  <c r="P95" i="6"/>
  <c r="S95" i="6"/>
  <c r="P104" i="6"/>
  <c r="P111" i="6"/>
  <c r="F121" i="6"/>
  <c r="Q76" i="6"/>
  <c r="AA78" i="6"/>
  <c r="X81" i="6"/>
  <c r="V82" i="6"/>
  <c r="P85" i="6"/>
  <c r="V85" i="6"/>
  <c r="S92" i="6"/>
  <c r="Q92" i="6"/>
  <c r="P92" i="6"/>
  <c r="X93" i="6"/>
  <c r="W95" i="6"/>
  <c r="P96" i="6"/>
  <c r="V96" i="6"/>
  <c r="S96" i="6"/>
  <c r="Q96" i="6"/>
  <c r="AA105" i="6"/>
  <c r="G121" i="6"/>
  <c r="W75" i="6"/>
  <c r="S80" i="6"/>
  <c r="V80" i="6"/>
  <c r="S82" i="6"/>
  <c r="Y93" i="6"/>
  <c r="AB105" i="6"/>
  <c r="D122" i="6"/>
  <c r="AA90" i="6"/>
  <c r="X95" i="6"/>
  <c r="AJ95" i="6" s="1"/>
  <c r="S103" i="6"/>
  <c r="S86" i="6"/>
  <c r="Q91" i="6"/>
  <c r="AA92" i="6"/>
  <c r="Z94" i="6"/>
  <c r="V102" i="6"/>
  <c r="P102" i="6"/>
  <c r="Y109" i="6"/>
  <c r="E122" i="6"/>
  <c r="W87" i="6"/>
  <c r="S88" i="6"/>
  <c r="AA94" i="6"/>
  <c r="Z95" i="6"/>
  <c r="X99" i="6"/>
  <c r="AJ99" i="6" s="1"/>
  <c r="P99" i="6"/>
  <c r="Q102" i="6"/>
  <c r="V86" i="6"/>
  <c r="W89" i="6"/>
  <c r="S90" i="6"/>
  <c r="Z105" i="6"/>
  <c r="Q94" i="6"/>
  <c r="Y95" i="6"/>
  <c r="AK95" i="6" s="1"/>
  <c r="Q104" i="6"/>
  <c r="S105" i="6"/>
  <c r="S99" i="6"/>
  <c r="Q99" i="6"/>
  <c r="Y101" i="6"/>
  <c r="W107" i="6"/>
  <c r="W109" i="6"/>
  <c r="W111" i="6"/>
  <c r="W113" i="6"/>
  <c r="W115" i="6"/>
  <c r="W117" i="6"/>
  <c r="G122" i="6"/>
  <c r="Y97" i="6"/>
  <c r="Z101" i="6"/>
  <c r="S104" i="6"/>
  <c r="C122" i="6"/>
  <c r="W108" i="6"/>
  <c r="Q101" i="6"/>
  <c r="Q103" i="6"/>
  <c r="Q105" i="6"/>
  <c r="Q107" i="6"/>
  <c r="Q109" i="6"/>
  <c r="Q111" i="6"/>
  <c r="Q113" i="6"/>
  <c r="Q115" i="6"/>
  <c r="Q117" i="6"/>
  <c r="V108" i="6"/>
  <c r="AJ58" i="6" l="1"/>
  <c r="AJ87" i="6"/>
  <c r="AK58" i="6"/>
  <c r="AK41" i="6"/>
  <c r="AK22" i="6"/>
  <c r="AK87" i="6"/>
  <c r="AK33" i="6"/>
  <c r="AJ57" i="6"/>
  <c r="AG22" i="6"/>
  <c r="M123" i="6"/>
  <c r="AB123" i="6"/>
  <c r="AK44" i="6"/>
  <c r="L107" i="6"/>
  <c r="L108" i="6" s="1"/>
  <c r="L109" i="6" s="1"/>
  <c r="L110" i="6" s="1"/>
  <c r="L111" i="6" s="1"/>
  <c r="L112" i="6" s="1"/>
  <c r="L113" i="6" s="1"/>
  <c r="L114" i="6" s="1"/>
  <c r="L115" i="6" s="1"/>
  <c r="L116" i="6" s="1"/>
  <c r="L117" i="6" s="1"/>
  <c r="E125" i="6" s="1"/>
  <c r="E14" i="6"/>
  <c r="F126" i="6"/>
  <c r="R122" i="6"/>
  <c r="AH23" i="6"/>
  <c r="AH24" i="6" s="1"/>
  <c r="AH25" i="6" s="1"/>
  <c r="AH26" i="6" s="1"/>
  <c r="AH27" i="6" s="1"/>
  <c r="AH28" i="6" s="1"/>
  <c r="AH29" i="6" s="1"/>
  <c r="AH30" i="6" s="1"/>
  <c r="AH31" i="6" s="1"/>
  <c r="AH32" i="6" s="1"/>
  <c r="AH33" i="6" s="1"/>
  <c r="AH34" i="6" s="1"/>
  <c r="AH35" i="6" s="1"/>
  <c r="AH36" i="6" s="1"/>
  <c r="AH37" i="6" s="1"/>
  <c r="AH38" i="6" s="1"/>
  <c r="AH39" i="6" s="1"/>
  <c r="AH40" i="6" s="1"/>
  <c r="AH41" i="6" s="1"/>
  <c r="AH42" i="6" s="1"/>
  <c r="AH43" i="6" s="1"/>
  <c r="AH44" i="6" s="1"/>
  <c r="AH45" i="6" s="1"/>
  <c r="AH46" i="6" s="1"/>
  <c r="AH47" i="6" s="1"/>
  <c r="AH48" i="6" s="1"/>
  <c r="AH49" i="6" s="1"/>
  <c r="AH50" i="6" s="1"/>
  <c r="AH51" i="6" s="1"/>
  <c r="AH52" i="6" s="1"/>
  <c r="AH53" i="6" s="1"/>
  <c r="AH54" i="6" s="1"/>
  <c r="AH55" i="6" s="1"/>
  <c r="AH56" i="6" s="1"/>
  <c r="AH57" i="6" s="1"/>
  <c r="AH58" i="6" s="1"/>
  <c r="AH59" i="6" s="1"/>
  <c r="AH60" i="6" s="1"/>
  <c r="AH61" i="6" s="1"/>
  <c r="AH62" i="6" s="1"/>
  <c r="AH63" i="6" s="1"/>
  <c r="AH64" i="6" s="1"/>
  <c r="AH65" i="6" s="1"/>
  <c r="AH66" i="6" s="1"/>
  <c r="AH67" i="6" s="1"/>
  <c r="AH68" i="6" s="1"/>
  <c r="AH69" i="6" s="1"/>
  <c r="AH70" i="6" s="1"/>
  <c r="AH71" i="6" s="1"/>
  <c r="AH72" i="6" s="1"/>
  <c r="AH73" i="6" s="1"/>
  <c r="AH74" i="6" s="1"/>
  <c r="AH75" i="6" s="1"/>
  <c r="AH76" i="6" s="1"/>
  <c r="AH77" i="6" s="1"/>
  <c r="AH78" i="6" s="1"/>
  <c r="AH79" i="6" s="1"/>
  <c r="AH80" i="6" s="1"/>
  <c r="AH81" i="6" s="1"/>
  <c r="AH82" i="6" s="1"/>
  <c r="AH83" i="6" s="1"/>
  <c r="AH84" i="6" s="1"/>
  <c r="AH85" i="6" s="1"/>
  <c r="AH86" i="6" s="1"/>
  <c r="AH87" i="6" s="1"/>
  <c r="AH88" i="6" s="1"/>
  <c r="AH89" i="6" s="1"/>
  <c r="AH90" i="6" s="1"/>
  <c r="AH91" i="6" s="1"/>
  <c r="AH92" i="6" s="1"/>
  <c r="AH93" i="6" s="1"/>
  <c r="AH94" i="6" s="1"/>
  <c r="AH95" i="6" s="1"/>
  <c r="AH96" i="6" s="1"/>
  <c r="AH97" i="6" s="1"/>
  <c r="AH98" i="6" s="1"/>
  <c r="AH99" i="6" s="1"/>
  <c r="AH100" i="6" s="1"/>
  <c r="AH101" i="6" s="1"/>
  <c r="AH102" i="6" s="1"/>
  <c r="AH103" i="6" s="1"/>
  <c r="AH104" i="6" s="1"/>
  <c r="AH105" i="6" s="1"/>
  <c r="AH106" i="6" s="1"/>
  <c r="AH107" i="6" s="1"/>
  <c r="AH108" i="6" s="1"/>
  <c r="AH109" i="6" s="1"/>
  <c r="AH110" i="6" s="1"/>
  <c r="AH111" i="6" s="1"/>
  <c r="AH112" i="6" s="1"/>
  <c r="AH113" i="6" s="1"/>
  <c r="AH114" i="6" s="1"/>
  <c r="AH115" i="6" s="1"/>
  <c r="AH116" i="6" s="1"/>
  <c r="AH117" i="6" s="1"/>
  <c r="AA126" i="6" s="1"/>
  <c r="AJ33" i="6"/>
  <c r="F127" i="6"/>
  <c r="AJ117" i="6"/>
  <c r="Q123" i="6"/>
  <c r="L123" i="6"/>
  <c r="AF22" i="6"/>
  <c r="AK56" i="6"/>
  <c r="E13" i="6"/>
  <c r="AJ56" i="6"/>
  <c r="AK115" i="6"/>
  <c r="Z122" i="6"/>
  <c r="AK117" i="6"/>
  <c r="AJ44" i="6"/>
  <c r="R121" i="6"/>
  <c r="AA123" i="6"/>
  <c r="AK110" i="6"/>
  <c r="AJ110" i="6"/>
  <c r="R123" i="6"/>
  <c r="AK59" i="6"/>
  <c r="AJ59" i="6"/>
  <c r="AJ62" i="6"/>
  <c r="AK62" i="6"/>
  <c r="AJ50" i="6"/>
  <c r="AK50" i="6"/>
  <c r="AK26" i="6"/>
  <c r="AJ26" i="6"/>
  <c r="AK40" i="6"/>
  <c r="AJ40" i="6"/>
  <c r="AJ63" i="6"/>
  <c r="AK63" i="6"/>
  <c r="AJ76" i="6"/>
  <c r="AK76" i="6"/>
  <c r="AK101" i="6"/>
  <c r="AJ101" i="6"/>
  <c r="AK112" i="6"/>
  <c r="AJ112" i="6"/>
  <c r="X121" i="6"/>
  <c r="AK79" i="6"/>
  <c r="AJ79" i="6"/>
  <c r="AJ74" i="6"/>
  <c r="AK74" i="6"/>
  <c r="Y123" i="6"/>
  <c r="AK109" i="6"/>
  <c r="AK55" i="6"/>
  <c r="AJ55" i="6"/>
  <c r="AK23" i="6"/>
  <c r="AJ23" i="6"/>
  <c r="Z121" i="6"/>
  <c r="AK102" i="6"/>
  <c r="AJ102" i="6"/>
  <c r="AK93" i="6"/>
  <c r="AJ93" i="6"/>
  <c r="O123" i="6"/>
  <c r="N123" i="6"/>
  <c r="AK66" i="6"/>
  <c r="AJ66" i="6"/>
  <c r="AK83" i="6"/>
  <c r="AJ83" i="6"/>
  <c r="AJ35" i="6"/>
  <c r="AK35" i="6"/>
  <c r="AJ73" i="6"/>
  <c r="AK73" i="6"/>
  <c r="AJ85" i="6"/>
  <c r="AK85" i="6"/>
  <c r="AJ69" i="6"/>
  <c r="AK69" i="6"/>
  <c r="AK64" i="6"/>
  <c r="AJ64" i="6"/>
  <c r="Y121" i="6"/>
  <c r="AK43" i="6"/>
  <c r="AJ43" i="6"/>
  <c r="AK29" i="6"/>
  <c r="AJ29" i="6"/>
  <c r="AJ67" i="6"/>
  <c r="AK67" i="6"/>
  <c r="AK78" i="6"/>
  <c r="AJ78" i="6"/>
  <c r="AK53" i="6"/>
  <c r="AJ53" i="6"/>
  <c r="AK34" i="6"/>
  <c r="AJ34" i="6"/>
  <c r="C126" i="6"/>
  <c r="AK116" i="6"/>
  <c r="AJ116" i="6"/>
  <c r="AJ94" i="6"/>
  <c r="AK94" i="6"/>
  <c r="AK107" i="6"/>
  <c r="AJ107" i="6"/>
  <c r="N121" i="6"/>
  <c r="AJ51" i="6"/>
  <c r="AK51" i="6"/>
  <c r="AK24" i="6"/>
  <c r="AJ24" i="6"/>
  <c r="AK70" i="6"/>
  <c r="AJ70" i="6"/>
  <c r="AK25" i="6"/>
  <c r="AJ25" i="6"/>
  <c r="AJ81" i="6"/>
  <c r="AK81" i="6"/>
  <c r="AK77" i="6"/>
  <c r="AJ77" i="6"/>
  <c r="AB122" i="6"/>
  <c r="AK60" i="6"/>
  <c r="AJ60" i="6"/>
  <c r="AK61" i="6"/>
  <c r="AJ61" i="6"/>
  <c r="AJ28" i="6"/>
  <c r="AK28" i="6"/>
  <c r="AF23" i="6"/>
  <c r="AF24" i="6" s="1"/>
  <c r="AF25" i="6" s="1"/>
  <c r="AF26" i="6" s="1"/>
  <c r="AF27" i="6" s="1"/>
  <c r="AF28" i="6" s="1"/>
  <c r="AF29" i="6" s="1"/>
  <c r="AF30" i="6" s="1"/>
  <c r="AF31" i="6" s="1"/>
  <c r="AF32" i="6" s="1"/>
  <c r="AF33" i="6" s="1"/>
  <c r="AF34" i="6" s="1"/>
  <c r="AF35" i="6" s="1"/>
  <c r="AF36" i="6" s="1"/>
  <c r="AF37" i="6" s="1"/>
  <c r="AF38" i="6" s="1"/>
  <c r="AF39" i="6" s="1"/>
  <c r="AF40" i="6" s="1"/>
  <c r="AF41" i="6" s="1"/>
  <c r="AF42" i="6" s="1"/>
  <c r="AF43" i="6" s="1"/>
  <c r="AF44" i="6" s="1"/>
  <c r="AF45" i="6" s="1"/>
  <c r="AF46" i="6" s="1"/>
  <c r="AF47" i="6" s="1"/>
  <c r="AF48" i="6" s="1"/>
  <c r="AF49" i="6" s="1"/>
  <c r="AF50" i="6" s="1"/>
  <c r="AF51" i="6" s="1"/>
  <c r="AF52" i="6" s="1"/>
  <c r="AF53" i="6" s="1"/>
  <c r="AF54" i="6" s="1"/>
  <c r="AF55" i="6" s="1"/>
  <c r="AF56" i="6" s="1"/>
  <c r="AF57" i="6" s="1"/>
  <c r="AF58" i="6" s="1"/>
  <c r="AF59" i="6" s="1"/>
  <c r="AF60" i="6" s="1"/>
  <c r="AF61" i="6" s="1"/>
  <c r="AF62" i="6" s="1"/>
  <c r="AF63" i="6" s="1"/>
  <c r="AF64" i="6" s="1"/>
  <c r="AF65" i="6" s="1"/>
  <c r="AF66" i="6" s="1"/>
  <c r="AF67" i="6" s="1"/>
  <c r="AF68" i="6" s="1"/>
  <c r="AF69" i="6" s="1"/>
  <c r="AF70" i="6" s="1"/>
  <c r="AF71" i="6" s="1"/>
  <c r="AF72" i="6" s="1"/>
  <c r="AF73" i="6" s="1"/>
  <c r="AF74" i="6" s="1"/>
  <c r="AF75" i="6" s="1"/>
  <c r="AF76" i="6" s="1"/>
  <c r="AF77" i="6" s="1"/>
  <c r="AF78" i="6" s="1"/>
  <c r="AF79" i="6" s="1"/>
  <c r="AF80" i="6" s="1"/>
  <c r="AF81" i="6" s="1"/>
  <c r="AF82" i="6" s="1"/>
  <c r="AF83" i="6" s="1"/>
  <c r="AF84" i="6" s="1"/>
  <c r="AF85" i="6" s="1"/>
  <c r="AF86" i="6" s="1"/>
  <c r="AF87" i="6" s="1"/>
  <c r="AF88" i="6" s="1"/>
  <c r="AF89" i="6" s="1"/>
  <c r="AF90" i="6" s="1"/>
  <c r="AF91" i="6" s="1"/>
  <c r="AF92" i="6" s="1"/>
  <c r="AF93" i="6" s="1"/>
  <c r="AF94" i="6" s="1"/>
  <c r="AF95" i="6" s="1"/>
  <c r="AF96" i="6" s="1"/>
  <c r="AF97" i="6" s="1"/>
  <c r="AF98" i="6" s="1"/>
  <c r="AF99" i="6" s="1"/>
  <c r="AF100" i="6" s="1"/>
  <c r="AF101" i="6" s="1"/>
  <c r="AF102" i="6" s="1"/>
  <c r="AF103" i="6" s="1"/>
  <c r="AF104" i="6" s="1"/>
  <c r="AF105" i="6" s="1"/>
  <c r="AF106" i="6" s="1"/>
  <c r="AF107" i="6" s="1"/>
  <c r="AF108" i="6" s="1"/>
  <c r="AF109" i="6" s="1"/>
  <c r="AF110" i="6" s="1"/>
  <c r="AF111" i="6" s="1"/>
  <c r="AF112" i="6" s="1"/>
  <c r="AF113" i="6" s="1"/>
  <c r="AF114" i="6" s="1"/>
  <c r="AF115" i="6" s="1"/>
  <c r="AF116" i="6" s="1"/>
  <c r="AF117" i="6" s="1"/>
  <c r="AK48" i="6"/>
  <c r="AJ48" i="6"/>
  <c r="O122" i="6"/>
  <c r="AK72" i="6"/>
  <c r="AJ72" i="6"/>
  <c r="AK21" i="6"/>
  <c r="AJ21" i="6"/>
  <c r="AK75" i="6"/>
  <c r="AJ75" i="6"/>
  <c r="AK54" i="6"/>
  <c r="AJ54" i="6"/>
  <c r="AJ96" i="6"/>
  <c r="AK96" i="6"/>
  <c r="V123" i="6"/>
  <c r="AJ108" i="6"/>
  <c r="AK108" i="6"/>
  <c r="AJ80" i="6"/>
  <c r="AK80" i="6"/>
  <c r="AK82" i="6"/>
  <c r="AJ82" i="6"/>
  <c r="V122" i="6"/>
  <c r="AK68" i="6"/>
  <c r="AJ68" i="6"/>
  <c r="AK92" i="6"/>
  <c r="AJ92" i="6"/>
  <c r="AA122" i="6"/>
  <c r="AK98" i="6"/>
  <c r="AJ98" i="6"/>
  <c r="AK105" i="6"/>
  <c r="AJ105" i="6"/>
  <c r="AK31" i="6"/>
  <c r="AJ31" i="6"/>
  <c r="C127" i="6"/>
  <c r="AK38" i="6"/>
  <c r="AJ38" i="6"/>
  <c r="AK52" i="6"/>
  <c r="AJ52" i="6"/>
  <c r="AK97" i="6"/>
  <c r="AJ97" i="6"/>
  <c r="Y122" i="6"/>
  <c r="AK47" i="6"/>
  <c r="AJ47" i="6"/>
  <c r="AK65" i="6"/>
  <c r="AJ65" i="6"/>
  <c r="Z123" i="6"/>
  <c r="AK104" i="6"/>
  <c r="AJ104" i="6"/>
  <c r="AJ89" i="6"/>
  <c r="AK89" i="6"/>
  <c r="AK86" i="6"/>
  <c r="AJ86" i="6"/>
  <c r="AK39" i="6"/>
  <c r="AJ39" i="6"/>
  <c r="AJ84" i="6"/>
  <c r="AK84" i="6"/>
  <c r="AK46" i="6"/>
  <c r="AJ46" i="6"/>
  <c r="AJ36" i="6"/>
  <c r="AK36" i="6"/>
  <c r="AK111" i="6"/>
  <c r="AJ111" i="6"/>
  <c r="AK90" i="6"/>
  <c r="AJ90" i="6"/>
  <c r="AJ114" i="6"/>
  <c r="AK114" i="6"/>
  <c r="AJ100" i="6"/>
  <c r="AK100" i="6"/>
  <c r="AK106" i="6"/>
  <c r="AJ106" i="6"/>
  <c r="AJ113" i="6"/>
  <c r="AK113" i="6"/>
  <c r="AJ37" i="6"/>
  <c r="AK37" i="6"/>
  <c r="AG23" i="6"/>
  <c r="AG24" i="6" s="1"/>
  <c r="AG25" i="6" s="1"/>
  <c r="AG26" i="6" s="1"/>
  <c r="AG27" i="6" s="1"/>
  <c r="AG28" i="6" s="1"/>
  <c r="AG29" i="6" s="1"/>
  <c r="AG30" i="6" s="1"/>
  <c r="AG31" i="6" s="1"/>
  <c r="AG32" i="6" s="1"/>
  <c r="AG33" i="6" s="1"/>
  <c r="AG34" i="6" s="1"/>
  <c r="AG35" i="6" s="1"/>
  <c r="AG36" i="6" s="1"/>
  <c r="AG37" i="6" s="1"/>
  <c r="AG38" i="6" s="1"/>
  <c r="AG39" i="6" s="1"/>
  <c r="AG40" i="6" s="1"/>
  <c r="AG41" i="6" s="1"/>
  <c r="AG42" i="6" s="1"/>
  <c r="AG43" i="6" s="1"/>
  <c r="AG44" i="6" s="1"/>
  <c r="AG45" i="6" s="1"/>
  <c r="AG46" i="6" s="1"/>
  <c r="AG47" i="6" s="1"/>
  <c r="AG48" i="6" s="1"/>
  <c r="AG49" i="6" s="1"/>
  <c r="AG50" i="6" s="1"/>
  <c r="AG51" i="6" s="1"/>
  <c r="AG52" i="6" s="1"/>
  <c r="AG53" i="6" s="1"/>
  <c r="AG54" i="6" s="1"/>
  <c r="AG55" i="6" s="1"/>
  <c r="AG56" i="6" s="1"/>
  <c r="AG57" i="6" s="1"/>
  <c r="AG58" i="6" s="1"/>
  <c r="AG59" i="6" s="1"/>
  <c r="AG60" i="6" s="1"/>
  <c r="AG61" i="6" s="1"/>
  <c r="AG62" i="6" s="1"/>
  <c r="AG63" i="6" s="1"/>
  <c r="AG64" i="6" s="1"/>
  <c r="AG65" i="6" s="1"/>
  <c r="AG66" i="6" s="1"/>
  <c r="AG67" i="6" s="1"/>
  <c r="AG68" i="6" s="1"/>
  <c r="AG69" i="6" s="1"/>
  <c r="AG70" i="6" s="1"/>
  <c r="AG71" i="6" s="1"/>
  <c r="AG72" i="6" s="1"/>
  <c r="AG73" i="6" s="1"/>
  <c r="AG74" i="6" s="1"/>
  <c r="AG75" i="6" s="1"/>
  <c r="AG76" i="6" s="1"/>
  <c r="AG77" i="6" s="1"/>
  <c r="AG78" i="6" s="1"/>
  <c r="AG79" i="6" s="1"/>
  <c r="AG80" i="6" s="1"/>
  <c r="AG81" i="6" s="1"/>
  <c r="AG82" i="6" s="1"/>
  <c r="AG83" i="6" s="1"/>
  <c r="AG84" i="6" s="1"/>
  <c r="AG85" i="6" s="1"/>
  <c r="AG86" i="6" s="1"/>
  <c r="AG87" i="6" s="1"/>
  <c r="AG88" i="6" s="1"/>
  <c r="AG89" i="6" s="1"/>
  <c r="AG90" i="6" s="1"/>
  <c r="AG91" i="6" s="1"/>
  <c r="AG92" i="6" s="1"/>
  <c r="AG93" i="6" s="1"/>
  <c r="AG94" i="6" s="1"/>
  <c r="AG95" i="6" s="1"/>
  <c r="AG96" i="6" s="1"/>
  <c r="AG97" i="6" s="1"/>
  <c r="AG98" i="6" s="1"/>
  <c r="AG99" i="6" s="1"/>
  <c r="AG100" i="6" s="1"/>
  <c r="AG101" i="6" s="1"/>
  <c r="AG102" i="6" s="1"/>
  <c r="AG103" i="6" s="1"/>
  <c r="AG104" i="6" s="1"/>
  <c r="AG105" i="6" s="1"/>
  <c r="AG106" i="6" s="1"/>
  <c r="AG107" i="6" s="1"/>
  <c r="AG108" i="6" s="1"/>
  <c r="AG109" i="6" s="1"/>
  <c r="AG110" i="6" s="1"/>
  <c r="AG111" i="6" s="1"/>
  <c r="AG112" i="6" s="1"/>
  <c r="AG113" i="6" s="1"/>
  <c r="AG114" i="6" s="1"/>
  <c r="AG115" i="6" s="1"/>
  <c r="AG116" i="6" s="1"/>
  <c r="AG117" i="6" s="1"/>
  <c r="AE23" i="6"/>
  <c r="AE24" i="6" s="1"/>
  <c r="AE25" i="6" s="1"/>
  <c r="AE26" i="6" s="1"/>
  <c r="AE27" i="6" s="1"/>
  <c r="AE28" i="6" s="1"/>
  <c r="AE29" i="6" s="1"/>
  <c r="AE30" i="6" s="1"/>
  <c r="AE31" i="6" s="1"/>
  <c r="AE32" i="6" s="1"/>
  <c r="AE33" i="6" s="1"/>
  <c r="AE34" i="6" s="1"/>
  <c r="AE35" i="6" s="1"/>
  <c r="AE36" i="6" s="1"/>
  <c r="AE37" i="6" s="1"/>
  <c r="AE38" i="6" s="1"/>
  <c r="AE39" i="6" s="1"/>
  <c r="AE40" i="6" s="1"/>
  <c r="AE41" i="6" s="1"/>
  <c r="AE42" i="6" s="1"/>
  <c r="AE43" i="6" s="1"/>
  <c r="AE44" i="6" s="1"/>
  <c r="AE45" i="6" s="1"/>
  <c r="AE46" i="6" s="1"/>
  <c r="AE47" i="6" s="1"/>
  <c r="AE48" i="6" s="1"/>
  <c r="AE49" i="6" s="1"/>
  <c r="AE50" i="6" s="1"/>
  <c r="AE51" i="6" s="1"/>
  <c r="AE52" i="6" s="1"/>
  <c r="AE53" i="6" s="1"/>
  <c r="AE54" i="6" s="1"/>
  <c r="AE55" i="6" s="1"/>
  <c r="AE56" i="6" s="1"/>
  <c r="AE57" i="6" s="1"/>
  <c r="AE58" i="6" s="1"/>
  <c r="AE59" i="6" s="1"/>
  <c r="AE60" i="6" s="1"/>
  <c r="AE61" i="6" s="1"/>
  <c r="AE62" i="6" s="1"/>
  <c r="AE63" i="6" s="1"/>
  <c r="AE64" i="6" s="1"/>
  <c r="AE65" i="6" s="1"/>
  <c r="AE66" i="6" s="1"/>
  <c r="AE67" i="6" s="1"/>
  <c r="AE68" i="6" s="1"/>
  <c r="AE69" i="6" s="1"/>
  <c r="AE70" i="6" s="1"/>
  <c r="AE71" i="6" s="1"/>
  <c r="AE72" i="6" s="1"/>
  <c r="AE73" i="6" s="1"/>
  <c r="AE74" i="6" s="1"/>
  <c r="AE75" i="6" s="1"/>
  <c r="AE76" i="6" s="1"/>
  <c r="AE77" i="6" s="1"/>
  <c r="AE78" i="6" s="1"/>
  <c r="AE79" i="6" s="1"/>
  <c r="AE80" i="6" s="1"/>
  <c r="AE81" i="6" s="1"/>
  <c r="AE82" i="6" s="1"/>
  <c r="AE83" i="6" s="1"/>
  <c r="AE84" i="6" s="1"/>
  <c r="AE85" i="6" s="1"/>
  <c r="AE86" i="6" s="1"/>
  <c r="AE87" i="6" s="1"/>
  <c r="AE88" i="6" s="1"/>
  <c r="AE89" i="6" s="1"/>
  <c r="AE90" i="6" s="1"/>
  <c r="AE91" i="6" s="1"/>
  <c r="AE92" i="6" s="1"/>
  <c r="AE93" i="6" s="1"/>
  <c r="AE94" i="6" s="1"/>
  <c r="AE95" i="6" s="1"/>
  <c r="AE96" i="6" s="1"/>
  <c r="AE97" i="6" s="1"/>
  <c r="AE98" i="6" s="1"/>
  <c r="AE99" i="6" s="1"/>
  <c r="AE100" i="6" s="1"/>
  <c r="AE101" i="6" s="1"/>
  <c r="AE102" i="6" s="1"/>
  <c r="AE103" i="6" s="1"/>
  <c r="AE104" i="6" s="1"/>
  <c r="AE105" i="6" s="1"/>
  <c r="AE106" i="6" s="1"/>
  <c r="AE107" i="6" s="1"/>
  <c r="AE108" i="6" s="1"/>
  <c r="AE109" i="6" s="1"/>
  <c r="AE110" i="6" s="1"/>
  <c r="AE111" i="6" s="1"/>
  <c r="AE112" i="6" s="1"/>
  <c r="AE113" i="6" s="1"/>
  <c r="AE114" i="6" s="1"/>
  <c r="AE115" i="6" s="1"/>
  <c r="AE116" i="6" s="1"/>
  <c r="AE117" i="6" s="1"/>
  <c r="N107" i="6"/>
  <c r="N108" i="6" s="1"/>
  <c r="N109" i="6" s="1"/>
  <c r="N110" i="6" s="1"/>
  <c r="N111" i="6" s="1"/>
  <c r="N112" i="6" s="1"/>
  <c r="N113" i="6" s="1"/>
  <c r="N114" i="6" s="1"/>
  <c r="N115" i="6" s="1"/>
  <c r="N116" i="6" s="1"/>
  <c r="N117" i="6" s="1"/>
  <c r="E15" i="6"/>
  <c r="D125" i="6"/>
  <c r="D127" i="6"/>
  <c r="D126" i="6"/>
  <c r="W123" i="6"/>
  <c r="N122" i="6"/>
  <c r="O121" i="6"/>
  <c r="Q122" i="6"/>
  <c r="T53" i="6"/>
  <c r="I54" i="6"/>
  <c r="Q121" i="6"/>
  <c r="O107" i="6"/>
  <c r="O108" i="6" s="1"/>
  <c r="O109" i="6" s="1"/>
  <c r="O110" i="6" s="1"/>
  <c r="O111" i="6" s="1"/>
  <c r="O112" i="6" s="1"/>
  <c r="O113" i="6" s="1"/>
  <c r="O114" i="6" s="1"/>
  <c r="O115" i="6" s="1"/>
  <c r="O116" i="6" s="1"/>
  <c r="O117" i="6" s="1"/>
  <c r="E16" i="6"/>
  <c r="W122" i="6"/>
  <c r="V121" i="6"/>
  <c r="AC21" i="6"/>
  <c r="AC22" i="6" s="1"/>
  <c r="AC23" i="6" s="1"/>
  <c r="AC24" i="6" s="1"/>
  <c r="AC25" i="6" s="1"/>
  <c r="AC26" i="6" s="1"/>
  <c r="AC27" i="6" s="1"/>
  <c r="AC28" i="6" s="1"/>
  <c r="AC29" i="6" s="1"/>
  <c r="AC30" i="6" s="1"/>
  <c r="AC31" i="6" s="1"/>
  <c r="AC32" i="6" s="1"/>
  <c r="AC33" i="6" s="1"/>
  <c r="AC34" i="6" s="1"/>
  <c r="AC35" i="6" s="1"/>
  <c r="AC36" i="6" s="1"/>
  <c r="AC37" i="6" s="1"/>
  <c r="AC38" i="6" s="1"/>
  <c r="AC39" i="6" s="1"/>
  <c r="AC40" i="6" s="1"/>
  <c r="AC41" i="6" s="1"/>
  <c r="AC42" i="6" s="1"/>
  <c r="AC43" i="6" s="1"/>
  <c r="AC44" i="6" s="1"/>
  <c r="AC45" i="6" s="1"/>
  <c r="AC46" i="6" s="1"/>
  <c r="AC47" i="6" s="1"/>
  <c r="AC48" i="6" s="1"/>
  <c r="AC49" i="6" s="1"/>
  <c r="AC50" i="6" s="1"/>
  <c r="AC51" i="6" s="1"/>
  <c r="AC52" i="6" s="1"/>
  <c r="AC53" i="6" s="1"/>
  <c r="AC54" i="6" s="1"/>
  <c r="AC55" i="6" s="1"/>
  <c r="AC56" i="6" s="1"/>
  <c r="AC57" i="6" s="1"/>
  <c r="AC58" i="6" s="1"/>
  <c r="AC59" i="6" s="1"/>
  <c r="AC60" i="6" s="1"/>
  <c r="AC61" i="6" s="1"/>
  <c r="AC62" i="6" s="1"/>
  <c r="AC63" i="6" s="1"/>
  <c r="AC64" i="6" s="1"/>
  <c r="AC65" i="6" s="1"/>
  <c r="AC66" i="6" s="1"/>
  <c r="AC67" i="6" s="1"/>
  <c r="AC68" i="6" s="1"/>
  <c r="AC69" i="6" s="1"/>
  <c r="AC70" i="6" s="1"/>
  <c r="AC71" i="6" s="1"/>
  <c r="AC72" i="6" s="1"/>
  <c r="AC73" i="6" s="1"/>
  <c r="AC74" i="6" s="1"/>
  <c r="AC75" i="6" s="1"/>
  <c r="AC76" i="6" s="1"/>
  <c r="AC77" i="6" s="1"/>
  <c r="AC78" i="6" s="1"/>
  <c r="AC79" i="6" s="1"/>
  <c r="AC80" i="6" s="1"/>
  <c r="AC81" i="6" s="1"/>
  <c r="AC82" i="6" s="1"/>
  <c r="AC83" i="6" s="1"/>
  <c r="AC84" i="6" s="1"/>
  <c r="AC85" i="6" s="1"/>
  <c r="AC86" i="6" s="1"/>
  <c r="AC87" i="6" s="1"/>
  <c r="AC88" i="6" s="1"/>
  <c r="AC89" i="6" s="1"/>
  <c r="AC90" i="6" s="1"/>
  <c r="AC91" i="6" s="1"/>
  <c r="AC92" i="6" s="1"/>
  <c r="AC93" i="6" s="1"/>
  <c r="AC94" i="6" s="1"/>
  <c r="AC95" i="6" s="1"/>
  <c r="AC96" i="6" s="1"/>
  <c r="AC97" i="6" s="1"/>
  <c r="AC98" i="6" s="1"/>
  <c r="AC99" i="6" s="1"/>
  <c r="AC100" i="6" s="1"/>
  <c r="AC101" i="6" s="1"/>
  <c r="AC102" i="6" s="1"/>
  <c r="AC103" i="6" s="1"/>
  <c r="AC104" i="6" s="1"/>
  <c r="AC105" i="6" s="1"/>
  <c r="AC106" i="6" s="1"/>
  <c r="AC107" i="6" s="1"/>
  <c r="AC108" i="6" s="1"/>
  <c r="AC109" i="6" s="1"/>
  <c r="AC110" i="6" s="1"/>
  <c r="AC111" i="6" s="1"/>
  <c r="AC112" i="6" s="1"/>
  <c r="AC113" i="6" s="1"/>
  <c r="AC114" i="6" s="1"/>
  <c r="AC115" i="6" s="1"/>
  <c r="AC116" i="6" s="1"/>
  <c r="AC117" i="6" s="1"/>
  <c r="M121" i="6"/>
  <c r="L121" i="6"/>
  <c r="W121" i="6"/>
  <c r="AD21" i="6"/>
  <c r="AD22" i="6" s="1"/>
  <c r="AD23" i="6" s="1"/>
  <c r="AD24" i="6" s="1"/>
  <c r="AD25" i="6" s="1"/>
  <c r="AD26" i="6" s="1"/>
  <c r="AD27" i="6" s="1"/>
  <c r="AD28" i="6" s="1"/>
  <c r="AD29" i="6" s="1"/>
  <c r="AD30" i="6" s="1"/>
  <c r="AD31" i="6" s="1"/>
  <c r="AD32" i="6" s="1"/>
  <c r="AD33" i="6" s="1"/>
  <c r="AD34" i="6" s="1"/>
  <c r="AD35" i="6" s="1"/>
  <c r="AD36" i="6" s="1"/>
  <c r="AD37" i="6" s="1"/>
  <c r="AD38" i="6" s="1"/>
  <c r="AD39" i="6" s="1"/>
  <c r="AD40" i="6" s="1"/>
  <c r="AD41" i="6" s="1"/>
  <c r="AD42" i="6" s="1"/>
  <c r="AD43" i="6" s="1"/>
  <c r="AD44" i="6" s="1"/>
  <c r="AD45" i="6" s="1"/>
  <c r="AD46" i="6" s="1"/>
  <c r="AD47" i="6" s="1"/>
  <c r="AD48" i="6" s="1"/>
  <c r="AD49" i="6" s="1"/>
  <c r="AD50" i="6" s="1"/>
  <c r="AD51" i="6" s="1"/>
  <c r="AD52" i="6" s="1"/>
  <c r="AD53" i="6" s="1"/>
  <c r="AD54" i="6" s="1"/>
  <c r="AD55" i="6" s="1"/>
  <c r="AD56" i="6" s="1"/>
  <c r="AD57" i="6" s="1"/>
  <c r="AD58" i="6" s="1"/>
  <c r="AD59" i="6" s="1"/>
  <c r="AD60" i="6" s="1"/>
  <c r="AD61" i="6" s="1"/>
  <c r="AD62" i="6" s="1"/>
  <c r="AD63" i="6" s="1"/>
  <c r="AD64" i="6" s="1"/>
  <c r="AD65" i="6" s="1"/>
  <c r="AD66" i="6" s="1"/>
  <c r="AD67" i="6" s="1"/>
  <c r="AD68" i="6" s="1"/>
  <c r="AD69" i="6" s="1"/>
  <c r="AD70" i="6" s="1"/>
  <c r="AD71" i="6" s="1"/>
  <c r="AD72" i="6" s="1"/>
  <c r="AD73" i="6" s="1"/>
  <c r="AD74" i="6" s="1"/>
  <c r="AD75" i="6" s="1"/>
  <c r="AD76" i="6" s="1"/>
  <c r="AD77" i="6" s="1"/>
  <c r="AD78" i="6" s="1"/>
  <c r="AD79" i="6" s="1"/>
  <c r="AD80" i="6" s="1"/>
  <c r="AD81" i="6" s="1"/>
  <c r="AD82" i="6" s="1"/>
  <c r="AD83" i="6" s="1"/>
  <c r="AD84" i="6" s="1"/>
  <c r="AD85" i="6" s="1"/>
  <c r="AD86" i="6" s="1"/>
  <c r="AD87" i="6" s="1"/>
  <c r="AD88" i="6" s="1"/>
  <c r="AD89" i="6" s="1"/>
  <c r="AD90" i="6" s="1"/>
  <c r="AD91" i="6" s="1"/>
  <c r="AD92" i="6" s="1"/>
  <c r="AD93" i="6" s="1"/>
  <c r="AD94" i="6" s="1"/>
  <c r="AD95" i="6" s="1"/>
  <c r="AD96" i="6" s="1"/>
  <c r="AD97" i="6" s="1"/>
  <c r="AD98" i="6" s="1"/>
  <c r="AD99" i="6" s="1"/>
  <c r="AD100" i="6" s="1"/>
  <c r="AD101" i="6" s="1"/>
  <c r="AD102" i="6" s="1"/>
  <c r="AD103" i="6" s="1"/>
  <c r="AD104" i="6" s="1"/>
  <c r="AD105" i="6" s="1"/>
  <c r="AD106" i="6" s="1"/>
  <c r="AD107" i="6" s="1"/>
  <c r="AD108" i="6" s="1"/>
  <c r="AD109" i="6" s="1"/>
  <c r="AD110" i="6" s="1"/>
  <c r="AD111" i="6" s="1"/>
  <c r="AD112" i="6" s="1"/>
  <c r="AD113" i="6" s="1"/>
  <c r="AD114" i="6" s="1"/>
  <c r="AD115" i="6" s="1"/>
  <c r="AD116" i="6" s="1"/>
  <c r="AD117" i="6" s="1"/>
  <c r="M122" i="6"/>
  <c r="L122" i="6"/>
  <c r="X122" i="6"/>
  <c r="AA121" i="6"/>
  <c r="AB121" i="6"/>
  <c r="AI21" i="6"/>
  <c r="AI22" i="6" s="1"/>
  <c r="AI23" i="6" s="1"/>
  <c r="AI24" i="6" s="1"/>
  <c r="AI25" i="6" s="1"/>
  <c r="AI26" i="6" s="1"/>
  <c r="AI27" i="6" s="1"/>
  <c r="AI28" i="6" s="1"/>
  <c r="AI29" i="6" s="1"/>
  <c r="AI30" i="6" s="1"/>
  <c r="AI31" i="6" s="1"/>
  <c r="AI32" i="6" s="1"/>
  <c r="AI33" i="6" s="1"/>
  <c r="AI34" i="6" s="1"/>
  <c r="AI35" i="6" s="1"/>
  <c r="AI36" i="6" s="1"/>
  <c r="AI37" i="6" s="1"/>
  <c r="AI38" i="6" s="1"/>
  <c r="AI39" i="6" s="1"/>
  <c r="AI40" i="6" s="1"/>
  <c r="AI41" i="6" s="1"/>
  <c r="AI42" i="6" s="1"/>
  <c r="AI43" i="6" s="1"/>
  <c r="AI44" i="6" s="1"/>
  <c r="AI45" i="6" s="1"/>
  <c r="AI46" i="6" s="1"/>
  <c r="AI47" i="6" s="1"/>
  <c r="AI48" i="6" s="1"/>
  <c r="AI49" i="6" s="1"/>
  <c r="AI50" i="6" s="1"/>
  <c r="AI51" i="6" s="1"/>
  <c r="AI52" i="6" s="1"/>
  <c r="AI53" i="6" s="1"/>
  <c r="AI54" i="6" s="1"/>
  <c r="AI55" i="6" s="1"/>
  <c r="AI56" i="6" s="1"/>
  <c r="AI57" i="6" s="1"/>
  <c r="AI58" i="6" s="1"/>
  <c r="AI59" i="6" s="1"/>
  <c r="AI60" i="6" s="1"/>
  <c r="AI61" i="6" s="1"/>
  <c r="AI62" i="6" s="1"/>
  <c r="AI63" i="6" s="1"/>
  <c r="AI64" i="6" s="1"/>
  <c r="AI65" i="6" s="1"/>
  <c r="AI66" i="6" s="1"/>
  <c r="AI67" i="6" s="1"/>
  <c r="AI68" i="6" s="1"/>
  <c r="AI69" i="6" s="1"/>
  <c r="AI70" i="6" s="1"/>
  <c r="AI71" i="6" s="1"/>
  <c r="AI72" i="6" s="1"/>
  <c r="AI73" i="6" s="1"/>
  <c r="AI74" i="6" s="1"/>
  <c r="AI75" i="6" s="1"/>
  <c r="AI76" i="6" s="1"/>
  <c r="AI77" i="6" s="1"/>
  <c r="AI78" i="6" s="1"/>
  <c r="AI79" i="6" s="1"/>
  <c r="AI80" i="6" s="1"/>
  <c r="AI81" i="6" s="1"/>
  <c r="AI82" i="6" s="1"/>
  <c r="AI83" i="6" s="1"/>
  <c r="AI84" i="6" s="1"/>
  <c r="AI85" i="6" s="1"/>
  <c r="AI86" i="6" s="1"/>
  <c r="AI87" i="6" s="1"/>
  <c r="AI88" i="6" s="1"/>
  <c r="AI89" i="6" s="1"/>
  <c r="AI90" i="6" s="1"/>
  <c r="AI91" i="6" s="1"/>
  <c r="AI92" i="6" s="1"/>
  <c r="AI93" i="6" s="1"/>
  <c r="AI94" i="6" s="1"/>
  <c r="AI95" i="6" s="1"/>
  <c r="AI96" i="6" s="1"/>
  <c r="AI97" i="6" s="1"/>
  <c r="AI98" i="6" s="1"/>
  <c r="AI99" i="6" s="1"/>
  <c r="AI100" i="6" s="1"/>
  <c r="AI101" i="6" s="1"/>
  <c r="AI102" i="6" s="1"/>
  <c r="AI103" i="6" s="1"/>
  <c r="AI104" i="6" s="1"/>
  <c r="AI105" i="6" s="1"/>
  <c r="AI106" i="6" s="1"/>
  <c r="AI107" i="6" s="1"/>
  <c r="AI108" i="6" s="1"/>
  <c r="AI109" i="6" s="1"/>
  <c r="AI110" i="6" s="1"/>
  <c r="AI111" i="6" s="1"/>
  <c r="AI112" i="6" s="1"/>
  <c r="AI113" i="6" s="1"/>
  <c r="AI114" i="6" s="1"/>
  <c r="AI115" i="6" s="1"/>
  <c r="AI116" i="6" s="1"/>
  <c r="AI117" i="6" s="1"/>
  <c r="X123" i="6"/>
  <c r="E127" i="6"/>
  <c r="E126" i="6"/>
  <c r="AH122" i="6" l="1"/>
  <c r="AI124" i="6"/>
  <c r="AH124" i="6"/>
  <c r="AI122" i="6"/>
  <c r="AA125" i="6"/>
  <c r="AA127" i="6"/>
  <c r="AH123" i="6"/>
  <c r="AI123" i="6"/>
  <c r="Y125" i="6"/>
  <c r="Y127" i="6"/>
  <c r="Y126" i="6"/>
  <c r="G125" i="6"/>
  <c r="G127" i="6"/>
  <c r="G126" i="6"/>
  <c r="Z127" i="6"/>
  <c r="Z126" i="6"/>
  <c r="Z125" i="6"/>
  <c r="X126" i="6"/>
  <c r="X125" i="6"/>
  <c r="X127" i="6"/>
  <c r="V127" i="6"/>
  <c r="V126" i="6"/>
  <c r="V125" i="6"/>
  <c r="I55" i="6"/>
  <c r="T54" i="6"/>
  <c r="W127" i="6"/>
  <c r="W126" i="6"/>
  <c r="W125" i="6"/>
  <c r="AB125" i="6"/>
  <c r="AB127" i="6"/>
  <c r="AB126" i="6"/>
  <c r="H127" i="6"/>
  <c r="H126" i="6"/>
  <c r="H125" i="6"/>
  <c r="I56" i="6" l="1"/>
  <c r="T55" i="6"/>
  <c r="I57" i="6" l="1"/>
  <c r="T56" i="6"/>
  <c r="T57" i="6" l="1"/>
  <c r="I58" i="6"/>
  <c r="I59" i="6" l="1"/>
  <c r="T58" i="6"/>
  <c r="T59" i="6" l="1"/>
  <c r="I60" i="6"/>
  <c r="I61" i="6" l="1"/>
  <c r="T60" i="6"/>
  <c r="I62" i="6" l="1"/>
  <c r="T61" i="6"/>
  <c r="I63" i="6" l="1"/>
  <c r="T62" i="6"/>
  <c r="T63" i="6" l="1"/>
  <c r="I64" i="6"/>
  <c r="I65" i="6" l="1"/>
  <c r="T64" i="6"/>
  <c r="T65" i="6" l="1"/>
  <c r="I66" i="6"/>
  <c r="I67" i="6" l="1"/>
  <c r="T66" i="6"/>
  <c r="T67" i="6" l="1"/>
  <c r="I68" i="6"/>
  <c r="I69" i="6" l="1"/>
  <c r="T68" i="6"/>
  <c r="T69" i="6" l="1"/>
  <c r="I70" i="6"/>
  <c r="I71" i="6" l="1"/>
  <c r="T70" i="6"/>
  <c r="T71" i="6" l="1"/>
  <c r="I72" i="6"/>
  <c r="I73" i="6" l="1"/>
  <c r="T72" i="6"/>
  <c r="T73" i="6" l="1"/>
  <c r="I74" i="6"/>
  <c r="I75" i="6" l="1"/>
  <c r="T74" i="6"/>
  <c r="I76" i="6" l="1"/>
  <c r="T75" i="6"/>
  <c r="I77" i="6" l="1"/>
  <c r="T76" i="6"/>
  <c r="I78" i="6" l="1"/>
  <c r="T77" i="6"/>
  <c r="I79" i="6" l="1"/>
  <c r="T78" i="6"/>
  <c r="I80" i="6" l="1"/>
  <c r="T79" i="6"/>
  <c r="T80" i="6" l="1"/>
  <c r="I81" i="6"/>
  <c r="I82" i="6" l="1"/>
  <c r="T81" i="6"/>
  <c r="T82" i="6" l="1"/>
  <c r="I83" i="6"/>
  <c r="T83" i="6" l="1"/>
  <c r="I84" i="6"/>
  <c r="T84" i="6" l="1"/>
  <c r="I85" i="6"/>
  <c r="I86" i="6" l="1"/>
  <c r="T85" i="6"/>
  <c r="T86" i="6" l="1"/>
  <c r="I87" i="6"/>
  <c r="T87" i="6" l="1"/>
  <c r="I88" i="6"/>
  <c r="T88" i="6" l="1"/>
  <c r="I89" i="6"/>
  <c r="T89" i="6" l="1"/>
  <c r="I90" i="6"/>
  <c r="T90" i="6" l="1"/>
  <c r="I91" i="6"/>
  <c r="I92" i="6" l="1"/>
  <c r="T91" i="6"/>
  <c r="I93" i="6" l="1"/>
  <c r="T92" i="6"/>
  <c r="I94" i="6" l="1"/>
  <c r="T93" i="6"/>
  <c r="I95" i="6" l="1"/>
  <c r="T94" i="6"/>
  <c r="T95" i="6" l="1"/>
  <c r="I96" i="6"/>
  <c r="I97" i="6" l="1"/>
  <c r="T96" i="6"/>
  <c r="T97" i="6" l="1"/>
  <c r="I98" i="6"/>
  <c r="I99" i="6" l="1"/>
  <c r="T98" i="6"/>
  <c r="I100" i="6" l="1"/>
  <c r="T99" i="6"/>
  <c r="I101" i="6" l="1"/>
  <c r="T100" i="6"/>
  <c r="T101" i="6" l="1"/>
  <c r="I102" i="6"/>
  <c r="I103" i="6" l="1"/>
  <c r="T102" i="6"/>
  <c r="T103" i="6" l="1"/>
  <c r="I104" i="6"/>
  <c r="I105" i="6" l="1"/>
  <c r="T104" i="6"/>
  <c r="I106" i="6" l="1"/>
  <c r="T105" i="6"/>
  <c r="I107" i="6" l="1"/>
  <c r="T106" i="6"/>
  <c r="E12" i="6"/>
  <c r="I108" i="6" l="1"/>
  <c r="T107" i="6"/>
  <c r="I109" i="6" l="1"/>
  <c r="T108" i="6"/>
  <c r="I110" i="6" l="1"/>
  <c r="T109" i="6"/>
  <c r="I111" i="6" l="1"/>
  <c r="T110" i="6"/>
  <c r="I112" i="6" l="1"/>
  <c r="T111" i="6"/>
  <c r="I113" i="6" l="1"/>
  <c r="T112" i="6"/>
  <c r="I114" i="6" l="1"/>
  <c r="T113" i="6"/>
  <c r="I115" i="6" l="1"/>
  <c r="T114" i="6"/>
  <c r="I116" i="6" l="1"/>
  <c r="T115" i="6"/>
  <c r="I117" i="6" l="1"/>
  <c r="T116" i="6"/>
  <c r="B125" i="6" l="1"/>
  <c r="B127" i="6"/>
  <c r="B126" i="6"/>
  <c r="T117" i="6"/>
  <c r="E17" i="6"/>
  <c r="M127" i="6" l="1"/>
  <c r="L127" i="6"/>
  <c r="Q127" i="6"/>
  <c r="M128" i="6"/>
  <c r="L128" i="6"/>
  <c r="Q128" i="6"/>
  <c r="L126" i="6"/>
  <c r="M126" i="6"/>
  <c r="Q12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9" authorId="0" shapeId="0" xr:uid="{A0CAFEC2-D999-0B4E-B7D2-97879E2D5592}">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 xml:space="preserve">ST: Short term (Treasury bill)
</t>
        </r>
        <r>
          <rPr>
            <sz val="9"/>
            <color rgb="FF000000"/>
            <rFont val="Geneva"/>
            <family val="2"/>
            <charset val="1"/>
          </rPr>
          <t>LT: Long term (Treasury bond)</t>
        </r>
      </text>
    </comment>
    <comment ref="D10" authorId="0" shapeId="0" xr:uid="{B30BC663-7145-4640-97EF-788405A3B06F}">
      <text>
        <r>
          <rPr>
            <b/>
            <sz val="9"/>
            <color rgb="FF000000"/>
            <rFont val="Geneva"/>
            <family val="2"/>
            <charset val="1"/>
          </rPr>
          <t>Aswath Damodaran:</t>
        </r>
        <r>
          <rPr>
            <sz val="9"/>
            <color rgb="FF000000"/>
            <rFont val="Geneva"/>
            <family val="2"/>
            <charset val="1"/>
          </rPr>
          <t xml:space="preserve">
</t>
        </r>
        <r>
          <rPr>
            <sz val="9"/>
            <color rgb="FF000000"/>
            <rFont val="Geneva"/>
            <family val="2"/>
            <charset val="1"/>
          </rPr>
          <t>The risk premium will be computed from this year to the current year.</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futureMetadata>
  <cellMetadata count="1">
    <bk>
      <rc t="1" v="0"/>
    </bk>
  </cellMetadata>
  <valueMetadata count="8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valueMetadata>
</metadata>
</file>

<file path=xl/sharedStrings.xml><?xml version="1.0" encoding="utf-8"?>
<sst xmlns="http://schemas.openxmlformats.org/spreadsheetml/2006/main" count="281" uniqueCount="229">
  <si>
    <t>Investment income Export</t>
  </si>
  <si>
    <t>Monthly</t>
  </si>
  <si>
    <t>Beginning balance</t>
  </si>
  <si>
    <t>Market change</t>
  </si>
  <si>
    <t>Dividends</t>
  </si>
  <si>
    <t>Interest</t>
  </si>
  <si>
    <t>Deposits</t>
  </si>
  <si>
    <t>Withdrawals</t>
  </si>
  <si>
    <t>Net advisory fees</t>
  </si>
  <si>
    <t>Ending balance</t>
  </si>
  <si>
    <t xml:space="preserve">Ending balance: $3,519.92    Accrued interest and dividends: $1.32   </t>
  </si>
  <si>
    <t xml:space="preserve">Ending balance: $3,485.87    Accrued interest and dividends: $0.27   </t>
  </si>
  <si>
    <t xml:space="preserve">Ending balance: $3,385.96    Accrued interest and dividends: $0.25   </t>
  </si>
  <si>
    <t xml:space="preserve">Ending balance: $3,480.93    Accrued interest and dividends: $1.20   </t>
  </si>
  <si>
    <t xml:space="preserve">Ending balance: $3,535.95    Accrued interest and dividends: $0.32   </t>
  </si>
  <si>
    <t xml:space="preserve">Ending balance: $3,433.30    Accrued interest and dividends: $0.27   </t>
  </si>
  <si>
    <t xml:space="preserve">Ending balance: $3,386.36    Accrued interest and dividends: $0.80   </t>
  </si>
  <si>
    <t xml:space="preserve">Ending balance: $3,673.64    Accrued interest and dividends: $0.66   </t>
  </si>
  <si>
    <t xml:space="preserve">Ending balance: $3,535.22    Accrued interest and dividends: $0.23   </t>
  </si>
  <si>
    <t xml:space="preserve">Ending balance: $3,392.12    Accrued interest and dividends: $1.22   </t>
  </si>
  <si>
    <t xml:space="preserve">Ending balance: $3,509.59    Accrued interest and dividends: $0.27   </t>
  </si>
  <si>
    <t xml:space="preserve">Ending balance: $3,254.02    Accrued interest and dividends: $0.00   </t>
  </si>
  <si>
    <t xml:space="preserve">Ending balance: $3,309.42    Accrued interest and dividends: $0.00   </t>
  </si>
  <si>
    <t xml:space="preserve">Ending balance: $3,282.91    Accrued interest and dividends: $0.00   </t>
  </si>
  <si>
    <t xml:space="preserve">Ending balance: $3,114.82    Accrued interest and dividends: $0.00   </t>
  </si>
  <si>
    <t xml:space="preserve">Ending balance: $3,116.05    Accrued interest and dividends: $0.00   </t>
  </si>
  <si>
    <t xml:space="preserve">Ending balance: $2,985.56    Accrued interest and dividends: $0.59   </t>
  </si>
  <si>
    <t xml:space="preserve">Ending balance: $2,742.20    Accrued interest and dividends: $2.58   </t>
  </si>
  <si>
    <t xml:space="preserve">Ending balance: $2,816.04    Accrued interest and dividends: $0.93   </t>
  </si>
  <si>
    <t xml:space="preserve">Ending balance: $2,846.04    Accrued interest and dividends: $0.61   </t>
  </si>
  <si>
    <t xml:space="preserve">Ending balance: $2,699.47    Accrued interest and dividends: $0.27   </t>
  </si>
  <si>
    <t xml:space="preserve">Ending balance: $2,616.56    Accrued interest and dividends: $30.86   </t>
  </si>
  <si>
    <t xml:space="preserve">Ending balance: $2,433.92    Accrued interest and dividends: $0.71   </t>
  </si>
  <si>
    <t xml:space="preserve">Ending balance: $2,266.84    Accrued interest and dividends: $0.25   </t>
  </si>
  <si>
    <t xml:space="preserve">Ending balance: $2,300.85    Accrued interest and dividends: $0.92   </t>
  </si>
  <si>
    <t xml:space="preserve">Ending balance: $2,323.23    Accrued interest and dividends: $2.55   </t>
  </si>
  <si>
    <t xml:space="preserve">Ending balance: $2,386.37    Accrued interest and dividends: $0.33   </t>
  </si>
  <si>
    <t xml:space="preserve">Ending balance: $2,325.27    Accrued interest and dividends: $0.78   </t>
  </si>
  <si>
    <t xml:space="preserve">Ending balance: $2,212.00    Accrued interest and dividends: $0.79   </t>
  </si>
  <si>
    <t xml:space="preserve">Ending balance: $2,185.96    Accrued interest and dividends: $0.18   </t>
  </si>
  <si>
    <t xml:space="preserve">Ending balance: $2,154.87    Accrued interest and dividends: $0.86   </t>
  </si>
  <si>
    <t xml:space="preserve">Ending balance: $2,068.68    Accrued interest and dividends: $0.55   </t>
  </si>
  <si>
    <t xml:space="preserve">Ending balance: $2,115.32    Accrued interest and dividends: $0.28   </t>
  </si>
  <si>
    <t xml:space="preserve">Ending balance: $1,891.80    Accrued interest and dividends: $0.75   </t>
  </si>
  <si>
    <t xml:space="preserve">Ending balance: $1,569.08    Accrued interest and dividends: $0.68   </t>
  </si>
  <si>
    <t xml:space="preserve">Ending balance: $1,546.26    Accrued interest and dividends: $0.18   </t>
  </si>
  <si>
    <t>Total</t>
  </si>
  <si>
    <t xml:space="preserve"> </t>
  </si>
  <si>
    <t>For existing accounts, deposit values for each period represent a total of all of the deposits in the account or portfolio within that same period. Initial deposits for new accounts are</t>
  </si>
  <si>
    <t>included in the Beginning Balance in the month following the initial deposit (e.g., a deposit made on January 15 would be captured in the Beginning Balance in February). For accounts</t>
  </si>
  <si>
    <t>opened prior to July 1, 2020, the initial deposit is based on the market value at the beginning of the first full month in cases where the actual amount deposited in the account is</t>
  </si>
  <si>
    <t>unavailable for reporting. The purchase of foreign currency is treated as a withdrawal from the account, and the sale of foreign currency is treated as a deposit into the account.</t>
  </si>
  <si>
    <t>Additionally, foreign currency positions are excluded from the total market value and dividends paid in foreign currencies are not reflected in the dividend income. The net advisory</t>
  </si>
  <si>
    <t>fees are calculated by subtracting the applicable credit amount from the gross advisory fee (or discounted gross advisory fee, as applicable). Please note that your net advisory fee</t>
  </si>
  <si>
    <t>does not include any additional fees and credits or fees associated with the underlying investments held in your account. If you paid your Quarterly Advisory Fee by check or from</t>
  </si>
  <si>
    <t>funds outside your account, payment is shown as Deposits in Total Deposits/Withdrawals. On summary view, account balance and income details reflect values from the start of the</t>
  </si>
  <si>
    <t>period specified through the previous day's close of business. Accrued interest and accrued dividends represent income to be paid as of the end of the time period represented. Once</t>
  </si>
  <si>
    <t>paid, these amounts will be shown as interest and dividends. On the detail view, a timeframe selector and frequency options are available to change the investment income details</t>
  </si>
  <si>
    <t>shown. Interest and dividends for each period are shown. Market Change represents the change in your account due to investment activity, exclusive of interest, dividends, deposits,</t>
  </si>
  <si>
    <t>and withdrawals. Please note we do not record transactions of deposits and withdrawals, of the same amount, on the same day, within the same account in this experience. To view</t>
  </si>
  <si>
    <t>activities and orders, please use the following link: https://digital.fidelity.com/ftgw/digital/portfolio/activity. The average total income is based on the time period selected and the</t>
  </si>
  <si>
    <t>time period displays on the top of the card.</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</si>
  <si>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</si>
  <si>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</si>
  <si>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</si>
  <si>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</si>
  <si>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</si>
  <si>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observation_date</t>
  </si>
  <si>
    <t>3mo T-Bills % Returns</t>
  </si>
  <si>
    <t>Monthly Returns</t>
  </si>
  <si>
    <t>SP500</t>
  </si>
  <si>
    <t>Date updated:</t>
  </si>
  <si>
    <t>Created by:</t>
  </si>
  <si>
    <t>Aswath Damodaran, adamodar@stern.nyu.edu</t>
  </si>
  <si>
    <t>What is this data?</t>
  </si>
  <si>
    <t>Historical returns: Stocks, Bonds &amp; T.Bills with premiums</t>
  </si>
  <si>
    <t>In US Dollars</t>
  </si>
  <si>
    <t>Home Page:</t>
  </si>
  <si>
    <t>Data website:</t>
  </si>
  <si>
    <t>https://pages.stern.nyu.edu/~adamodar/New_Home_Page/data.html</t>
  </si>
  <si>
    <t>Companies in each industry:</t>
  </si>
  <si>
    <t>https://pages.stern.nyu.edu/~adamodar/pc/datasets/indname.xls</t>
  </si>
  <si>
    <t>Variable definitions:</t>
  </si>
  <si>
    <t>https://pages.stern.nyu.edu/~adamodar/New_Home_Page/datafile/variable.htm</t>
  </si>
  <si>
    <t>Customized Geometric risk premium estimator</t>
  </si>
  <si>
    <t>What is your riskfree rate?</t>
  </si>
  <si>
    <t>LT</t>
  </si>
  <si>
    <t>Estimates of risk premiums from 1928, over the last 50 years and over the last 10 years</t>
  </si>
  <si>
    <t>Enter your starting year</t>
  </si>
  <si>
    <t>Value of stocks in starting year:</t>
  </si>
  <si>
    <t>Value of T.Bills in starting year:</t>
    <phoneticPr fontId="0" type="noConversion"/>
  </si>
  <si>
    <t>Value of T.bonds in starting year:</t>
  </si>
  <si>
    <t>Value of Real estate in starting year</t>
  </si>
  <si>
    <t>Value of Gold in starting year</t>
  </si>
  <si>
    <t>Estimate of risk premium based on your inputs:</t>
  </si>
  <si>
    <t>Annual Returns on Investments in</t>
  </si>
  <si>
    <t>Value of $100 invested at start of 1928 in</t>
  </si>
  <si>
    <t>Year</t>
  </si>
  <si>
    <t>S&amp;P 500 (includes dividends)</t>
  </si>
  <si>
    <t>US Small cap (bottom decile)</t>
  </si>
  <si>
    <t>3-month T.Bill</t>
  </si>
  <si>
    <t>US T. Bond (10-year)</t>
  </si>
  <si>
    <t xml:space="preserve"> Baa Corporate Bond</t>
  </si>
  <si>
    <t>Real Estate</t>
  </si>
  <si>
    <t>Gold*</t>
  </si>
  <si>
    <t>S&amp;P 500 (includes dividends)3</t>
  </si>
  <si>
    <t>US Small cap (bottom decile) Cum Value</t>
  </si>
  <si>
    <t>3-month T.Bill4</t>
  </si>
  <si>
    <t>US T. Bond5</t>
  </si>
  <si>
    <t xml:space="preserve"> Baa Corporate Bond2</t>
  </si>
  <si>
    <t>Real Estate2</t>
  </si>
  <si>
    <t>Gold2</t>
  </si>
  <si>
    <t>Arithmetic Average Historical Return</t>
  </si>
  <si>
    <t>Equity Risk Premium (Arithmetic)</t>
  </si>
  <si>
    <t>Standard Error</t>
    <phoneticPr fontId="0" type="noConversion"/>
  </si>
  <si>
    <t>1928-2024</t>
  </si>
  <si>
    <t>Stocks - T.Bills</t>
  </si>
  <si>
    <t>Stocks - T.Bonds</t>
  </si>
  <si>
    <t>1975-2024</t>
  </si>
  <si>
    <t>2015-2024</t>
  </si>
  <si>
    <t>Geometric Average Historical Return</t>
  </si>
  <si>
    <t>Equity Risk Premium (Geometric)</t>
  </si>
  <si>
    <t>Note</t>
  </si>
  <si>
    <t>* Prior to 1971, gold prices were fixed and with the gold standard in place, and were mostly stable.</t>
  </si>
  <si>
    <t>https://pages.stern.nyu.edu/~adamodar/</t>
  </si>
  <si>
    <t>Annual Risk Premium</t>
  </si>
  <si>
    <t>Annual Real Returns</t>
  </si>
  <si>
    <t>Value of $100 invested at start of 1928 in real terms</t>
  </si>
  <si>
    <t>Real Risk Premium</t>
  </si>
  <si>
    <t>Stocks - Bills</t>
  </si>
  <si>
    <t>Stocks - Bonds</t>
    <phoneticPr fontId="0" type="noConversion"/>
  </si>
  <si>
    <t>Small Cap Premium (S&amp;P 500 minus Bottom Decile)</t>
  </si>
  <si>
    <t>Stocks - Baa Corp Bond</t>
  </si>
  <si>
    <t>Historical ERP</t>
  </si>
  <si>
    <t>Inflation Rate</t>
  </si>
  <si>
    <t>S&amp;P 500 (includes dividends)2</t>
  </si>
  <si>
    <t>US Small cap (bottom decile)22</t>
  </si>
  <si>
    <t>3-month T. Bill (Real)</t>
  </si>
  <si>
    <t>!0-year T.Bonds</t>
  </si>
  <si>
    <t>Baa Corp Bonds</t>
  </si>
  <si>
    <t>Real Estate3</t>
  </si>
  <si>
    <t>Gold</t>
  </si>
  <si>
    <t>Stocks minus T. Bills</t>
  </si>
  <si>
    <t>Stocks minus T.Bonds</t>
  </si>
  <si>
    <t>Small Cap Premium (Arithmetic)</t>
  </si>
  <si>
    <t>Arithmetic Average Annual Real Return</t>
  </si>
  <si>
    <t>S&amp;P 500 minus Lowest Decile</t>
  </si>
  <si>
    <t>Standard Error</t>
  </si>
  <si>
    <t>Small Cap Premium (Geometric)</t>
  </si>
  <si>
    <t>Returns</t>
  </si>
  <si>
    <t>Income For: 237906380</t>
  </si>
  <si>
    <t>Investment income - (Sep-01-2022 - Oct-28-2025)</t>
  </si>
  <si>
    <t>Oct 2025(As of Oct-28-2025)</t>
  </si>
  <si>
    <t>Ending balance: $3,580.92    Accrued interest and dividends: $0.22   (not yet paid)</t>
  </si>
  <si>
    <t>Sep 2022(As of Sep-01-2022)</t>
  </si>
  <si>
    <t xml:space="preserve">Ending balance: $490.41    Accrued interest and dividends: $0.00   </t>
  </si>
  <si>
    <t>Total Dividends, Interest and Market Change(Minus fees)$1,688.00</t>
  </si>
  <si>
    <t>Total Deposits and Withdrawals$1,893.14</t>
  </si>
  <si>
    <t>Average total income$3.31</t>
  </si>
  <si>
    <t>1132521.4.0</t>
  </si>
  <si>
    <t>As of Oct-28-2025</t>
  </si>
  <si>
    <t>RothIRA</t>
  </si>
  <si>
    <t>Mean</t>
  </si>
  <si>
    <t>Median</t>
  </si>
  <si>
    <t>Mode</t>
  </si>
  <si>
    <t>Standard Deviation</t>
  </si>
  <si>
    <t>Sample Variance</t>
  </si>
  <si>
    <t>Kurtosis</t>
  </si>
  <si>
    <t>Skewness</t>
  </si>
  <si>
    <t>Range</t>
  </si>
  <si>
    <t>Minimum</t>
  </si>
  <si>
    <t>Maximum</t>
  </si>
  <si>
    <t>Sum</t>
  </si>
  <si>
    <t>Count</t>
  </si>
  <si>
    <t>Confidence Level(95.0%)</t>
  </si>
  <si>
    <t>Roth IRA Returns</t>
  </si>
  <si>
    <t>3mo T-Bills % 11/22 - 9/25</t>
  </si>
  <si>
    <t>SP500 11/22 - 10/25</t>
  </si>
  <si>
    <t>Date</t>
  </si>
  <si>
    <t>Historical Sharpe</t>
  </si>
  <si>
    <t>Portfolio Mean Excess Return</t>
  </si>
  <si>
    <t>S&amp;P 500 1928 - 2024</t>
  </si>
  <si>
    <t>3-month T.Bill 1928 - 2024</t>
  </si>
  <si>
    <t>Stock</t>
  </si>
  <si>
    <t>Shares Owned</t>
  </si>
  <si>
    <t>Initial Price</t>
  </si>
  <si>
    <t>Current Price</t>
  </si>
  <si>
    <t>Initial Position</t>
  </si>
  <si>
    <t>Current Position</t>
  </si>
  <si>
    <t>$ Returns</t>
  </si>
  <si>
    <t>% Returns</t>
  </si>
  <si>
    <t>Years Owned</t>
  </si>
  <si>
    <t>Annualized</t>
  </si>
  <si>
    <t>Log Price △</t>
  </si>
  <si>
    <t>AAPL</t>
  </si>
  <si>
    <t>COST</t>
  </si>
  <si>
    <t>DIA</t>
  </si>
  <si>
    <t>DJT</t>
  </si>
  <si>
    <t>GEHC</t>
  </si>
  <si>
    <t>ONEQ</t>
  </si>
  <si>
    <t>RDNT</t>
  </si>
  <si>
    <t xml:space="preserve">Total </t>
  </si>
  <si>
    <t>Total Portfolio Returns</t>
  </si>
  <si>
    <t>Annualized Total Porftoflio Returns (3 yrs)</t>
  </si>
  <si>
    <t>Annual Returns</t>
  </si>
  <si>
    <t>Percentage</t>
  </si>
  <si>
    <t>$ Amount</t>
  </si>
  <si>
    <t>(Nominal) Monthly Returns</t>
  </si>
  <si>
    <t>Excess Monthly Returns</t>
  </si>
  <si>
    <t xml:space="preserve">Average </t>
  </si>
  <si>
    <t>Average</t>
  </si>
  <si>
    <t>VaR (5%)</t>
  </si>
  <si>
    <t>STDEV</t>
  </si>
  <si>
    <t xml:space="preserve">95% confidence interval of annual returns. </t>
  </si>
  <si>
    <t>Annual</t>
  </si>
  <si>
    <t>Market Rate (S&amp;P 500 from (1928 - 2024)</t>
  </si>
  <si>
    <t xml:space="preserve">Risk Free Rate (3-mo T-bills 1928 - 2024) </t>
  </si>
  <si>
    <t>Risk Premium</t>
  </si>
  <si>
    <t xml:space="preserve">Beta (S&amp;P 500 as Index) </t>
  </si>
  <si>
    <t xml:space="preserve">Beta (Dow Jones as Index) </t>
  </si>
  <si>
    <t>Sharpe Ratio with S&amp;P Index</t>
  </si>
  <si>
    <t>Sharpe Ratio with Dow Index</t>
  </si>
  <si>
    <t>Historical Monthly Sharpe Ratio</t>
  </si>
  <si>
    <t>Jensen's Alpha (S&amp;P Index)</t>
  </si>
  <si>
    <t>Jensen's Alpha (Dow Index)</t>
  </si>
  <si>
    <r>
      <t>Expected Monthly Return of Portfolio R</t>
    </r>
    <r>
      <rPr>
        <vertAlign val="subscript"/>
        <sz val="12"/>
        <color theme="1"/>
        <rFont val="Arial"/>
        <family val="2"/>
      </rPr>
      <t xml:space="preserve">e </t>
    </r>
    <r>
      <rPr>
        <sz val="12"/>
        <color theme="1"/>
        <rFont val="Arial"/>
        <family val="2"/>
      </rPr>
      <t>(𝜷 S&amp;P)</t>
    </r>
    <r>
      <rPr>
        <vertAlign val="subscript"/>
        <sz val="12"/>
        <color theme="1"/>
        <rFont val="Arial"/>
        <family val="2"/>
      </rPr>
      <t xml:space="preserve"> </t>
    </r>
  </si>
  <si>
    <r>
      <t>Expected Monthly Return of Portfolio R</t>
    </r>
    <r>
      <rPr>
        <vertAlign val="subscript"/>
        <sz val="12"/>
        <color theme="1"/>
        <rFont val="Arial"/>
        <family val="2"/>
      </rPr>
      <t xml:space="preserve">e </t>
    </r>
    <r>
      <rPr>
        <sz val="12"/>
        <color theme="1"/>
        <rFont val="Arial"/>
        <family val="2"/>
      </rPr>
      <t>(𝜷 Dow)</t>
    </r>
    <r>
      <rPr>
        <vertAlign val="subscript"/>
        <sz val="12"/>
        <color theme="1"/>
        <rFont val="Arial"/>
        <family val="2"/>
      </rPr>
      <t xml:space="preserve"> </t>
    </r>
  </si>
  <si>
    <t>DowJones</t>
  </si>
  <si>
    <t>VaR 95% of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</si>
</sst>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164" formatCode="yyyy\-mm\-dd"/>
    <numFmt numFmtId="165" formatCode="0.0%"/>
    <numFmt numFmtId="166" formatCode="0.0000"/>
    <numFmt numFmtId="167" formatCode="_(&quot;$&quot;* #,##0.00_);_(&quot;$&quot;* \(#,##0.00\);_(&quot;$&quot;* &quot;-&quot;_);_(@_)"/>
    <numFmt numFmtId="168" formatCode="0.000000000000000"/>
  </numFmts>
  <fonts count="33">
    <font>
      <sz val="12"/>
      <color theme="1"/>
      <name val="Aptos Narrow"/>
      <family val="2"/>
      <scheme val="minor"/>
    </font>
    <font>
      <sz val="12"/>
      <color theme="1"/>
      <name val="Aptos Narrow"/>
      <family val="2"/>
      <scheme val="minor"/>
    </font>
    <font>
      <b/>
      <sz val="12"/>
      <color theme="1"/>
      <name val="Aptos Narrow"/>
      <family val="2"/>
      <scheme val="minor"/>
    </font>
    <font>
      <sz val="12"/>
      <color theme="0"/>
      <name val="Aptos Narrow"/>
      <family val="2"/>
      <scheme val="minor"/>
    </font>
    <font>
      <sz val="11"/>
      <color theme="1"/>
      <name val="Aptos Narrow"/>
      <family val="2"/>
      <scheme val="minor"/>
    </font>
    <font>
      <b/>
      <sz val="11"/>
      <color theme="1"/>
      <name val="Aptos Narrow"/>
      <family val="2"/>
      <scheme val="minor"/>
    </font>
    <font>
      <b/>
      <sz val="11"/>
      <color theme="1"/>
      <name val="Aptos Narrow"/>
      <scheme val="minor"/>
    </font>
    <font>
      <u/>
      <sz val="12"/>
      <color theme="10"/>
      <name val="Aptos Narrow"/>
      <family val="2"/>
      <scheme val="minor"/>
    </font>
    <font>
      <sz val="10"/>
      <name val="Geneva"/>
      <family val="2"/>
      <charset val="1"/>
    </font>
    <font>
      <b/>
      <sz val="12"/>
      <color rgb="FF000000"/>
      <name val="Calibri"/>
      <family val="2"/>
    </font>
    <font>
      <i/>
      <sz val="12"/>
      <color rgb="FF000000"/>
      <name val="Calibri"/>
      <family val="2"/>
    </font>
    <font>
      <sz val="12"/>
      <name val="Times"/>
      <family val="1"/>
    </font>
    <font>
      <u/>
      <sz val="10"/>
      <color indexed="12"/>
      <name val="Geneva"/>
      <family val="2"/>
      <charset val="1"/>
    </font>
    <font>
      <sz val="12"/>
      <name val="Calibri"/>
      <family val="2"/>
    </font>
    <font>
      <sz val="12"/>
      <color rgb="FF000000"/>
      <name val="Calibri"/>
      <family val="2"/>
    </font>
    <font>
      <sz val="14"/>
      <color indexed="10"/>
      <name val="Times"/>
      <family val="1"/>
    </font>
    <font>
      <sz val="14"/>
      <color indexed="10"/>
      <name val="Geneva"/>
      <family val="2"/>
      <charset val="1"/>
    </font>
    <font>
      <i/>
      <sz val="12"/>
      <color theme="1"/>
      <name val="Times"/>
      <family val="1"/>
    </font>
    <font>
      <sz val="10"/>
      <color theme="0"/>
      <name val="Geneva"/>
      <family val="2"/>
      <charset val="1"/>
    </font>
    <font>
      <sz val="12"/>
      <color theme="0"/>
      <name val="Times"/>
      <family val="1"/>
    </font>
    <font>
      <b/>
      <sz val="12"/>
      <color theme="0"/>
      <name val="Times"/>
      <family val="1"/>
    </font>
    <font>
      <b/>
      <sz val="12"/>
      <name val="Times"/>
      <family val="1"/>
    </font>
    <font>
      <i/>
      <sz val="12"/>
      <name val="Aptos Narrow"/>
      <family val="2"/>
      <scheme val="minor"/>
    </font>
    <font>
      <i/>
      <sz val="12"/>
      <color theme="0"/>
      <name val="Aptos Narrow"/>
      <family val="2"/>
      <scheme val="minor"/>
    </font>
    <font>
      <i/>
      <sz val="12"/>
      <color theme="1"/>
      <name val="Aptos Narrow"/>
      <family val="2"/>
      <scheme val="minor"/>
    </font>
    <font>
      <sz val="12"/>
      <name val="Aptos Narrow"/>
      <family val="2"/>
      <scheme val="minor"/>
    </font>
    <font>
      <b/>
      <i/>
      <sz val="12"/>
      <name val="Times"/>
      <family val="1"/>
    </font>
    <font>
      <b/>
      <sz val="9"/>
      <color rgb="FF000000"/>
      <name val="Geneva"/>
      <family val="2"/>
      <charset val="1"/>
    </font>
    <font>
      <sz val="9"/>
      <color rgb="FF000000"/>
      <name val="Geneva"/>
      <family val="2"/>
      <charset val="1"/>
    </font>
    <font>
      <b/>
      <sz val="12"/>
      <name val="Times"/>
    </font>
    <font>
      <b/>
      <i/>
      <sz val="12"/>
      <name val="Times"/>
    </font>
    <font>
      <sz val="12"/>
      <color theme="1"/>
      <name val="Arial"/>
      <family val="2"/>
    </font>
    <font>
      <vertAlign val="subscript"/>
      <sz val="12"/>
      <color theme="1"/>
      <name val="Arial"/>
      <family val="2"/>
    </font>
  </fonts>
  <fills count="6">
    <fill>
      <patternFill patternType="none"/>
    </fill>
    <fill>
      <patternFill patternType="gray125"/>
    </fill>
    <fill>
      <patternFill patternType="solid">
        <fgColor theme="2"/>
        <bgColor rgb="FF000000"/>
      </patternFill>
    </fill>
    <fill>
      <patternFill patternType="solid">
        <fgColor indexed="13"/>
        <bgColor indexed="64"/>
      </patternFill>
    </fill>
    <fill>
      <patternFill patternType="solid">
        <fgColor theme="0"/>
        <bgColor indexed="64"/>
      </patternFill>
    </fill>
    <fill>
      <patternFill patternType="solid">
        <fgColor theme="1"/>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thin">
        <color indexed="64"/>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top style="thin">
        <color theme="0"/>
      </top>
      <bottom/>
      <diagonal/>
    </border>
    <border>
      <left style="thin">
        <color theme="0"/>
      </left>
      <right style="thin">
        <color theme="0"/>
      </right>
      <top style="thin">
        <color theme="0"/>
      </top>
      <bottom style="thin">
        <color theme="0"/>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theme="1"/>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theme="0"/>
      </left>
      <right style="thin">
        <color theme="0"/>
      </right>
      <top style="thin">
        <color theme="0"/>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theme="1"/>
      </bottom>
      <diagonal/>
    </border>
    <border>
      <left style="thin">
        <color indexed="64"/>
      </left>
      <right style="thin">
        <color indexed="64"/>
      </right>
      <top style="thin">
        <color theme="1"/>
      </top>
      <bottom style="thin">
        <color indexed="64"/>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top style="thin">
        <color theme="1"/>
      </top>
      <bottom style="thin">
        <color theme="0"/>
      </bottom>
      <diagonal/>
    </border>
    <border>
      <left style="thin">
        <color theme="1"/>
      </left>
      <right/>
      <top style="thin">
        <color theme="1"/>
      </top>
      <bottom style="thin">
        <color theme="1"/>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theme="1"/>
      </top>
      <bottom style="thin">
        <color indexed="64"/>
      </bottom>
      <diagonal/>
    </border>
    <border>
      <left/>
      <right/>
      <top style="thin">
        <color theme="1"/>
      </top>
      <bottom/>
      <diagonal/>
    </border>
    <border>
      <left/>
      <right/>
      <top/>
      <bottom style="medium">
        <color indexed="64"/>
      </bottom>
      <diagonal/>
    </border>
    <border>
      <left/>
      <right style="medium">
        <color indexed="64"/>
      </right>
      <top/>
      <bottom style="medium">
        <color indexed="64"/>
      </bottom>
      <diagonal/>
    </border>
  </borders>
  <cellStyleXfs count="9">
    <xf numFmtId="0" fontId="0" fillId="0" borderId="0"/>
    <xf numFmtId="9" fontId="1" fillId="0" borderId="0" applyFont="0" applyFill="0" applyBorder="0" applyAlignment="0" applyProtection="0"/>
    <xf numFmtId="0" fontId="4" fillId="0" borderId="0"/>
    <xf numFmtId="0" fontId="7" fillId="0" borderId="0" applyNumberFormat="0" applyFill="0" applyBorder="0" applyAlignment="0" applyProtection="0"/>
    <xf numFmtId="0" fontId="8" fillId="0" borderId="0"/>
    <xf numFmtId="0" fontId="12" fillId="0" borderId="0" applyNumberFormat="0" applyFill="0" applyBorder="0" applyAlignment="0" applyProtection="0">
      <alignment vertical="top"/>
      <protection locked="0"/>
    </xf>
    <xf numFmtId="44" fontId="8" fillId="0" borderId="0" applyFont="0" applyFill="0" applyBorder="0" applyAlignment="0" applyProtection="0"/>
    <xf numFmtId="9" fontId="8" fillId="0" borderId="0" applyFont="0" applyFill="0" applyBorder="0" applyAlignment="0" applyProtection="0"/>
    <xf numFmtId="44" fontId="1" fillId="0" borderId="0" applyFont="0" applyFill="0" applyBorder="0" applyAlignment="0" applyProtection="0"/>
  </cellStyleXfs>
  <cellXfs count="159">
    <xf numFmtId="0" fontId="0" fillId="0" borderId="0" xfId="0"/>
    <xf numFmtId="17" fontId="0" fillId="0" borderId="0" xfId="0" applyNumberFormat="1"/>
    <xf numFmtId="8" fontId="0" fillId="0" borderId="0" xfId="0" applyNumberFormat="1"/>
    <xf numFmtId="0" fontId="4" fillId="0" borderId="0" xfId="2" applyAlignment="1">
      <alignment wrapText="1"/>
    </xf>
    <xf numFmtId="0" fontId="4" fillId="0" borderId="0" xfId="2"/>
    <xf numFmtId="2" fontId="4" fillId="0" borderId="0" xfId="2" applyNumberFormat="1"/>
    <xf numFmtId="0" fontId="5" fillId="0" borderId="1" xfId="2" applyFont="1" applyBorder="1" applyAlignment="1">
      <alignment horizontal="center" vertical="top"/>
    </xf>
    <xf numFmtId="0" fontId="6" fillId="0" borderId="0" xfId="2" applyFont="1"/>
    <xf numFmtId="164" fontId="4" fillId="0" borderId="0" xfId="2" applyNumberFormat="1"/>
    <xf numFmtId="0" fontId="4" fillId="0" borderId="0" xfId="2" applyAlignment="1">
      <alignment horizontal="left"/>
    </xf>
    <xf numFmtId="0" fontId="9" fillId="2" borderId="2" xfId="4" applyFont="1" applyFill="1" applyBorder="1"/>
    <xf numFmtId="0" fontId="11" fillId="0" borderId="0" xfId="4" applyFont="1" applyAlignment="1">
      <alignment horizontal="center"/>
    </xf>
    <xf numFmtId="0" fontId="9" fillId="2" borderId="6" xfId="4" applyFont="1" applyFill="1" applyBorder="1"/>
    <xf numFmtId="0" fontId="13" fillId="2" borderId="8" xfId="4" applyFont="1" applyFill="1" applyBorder="1" applyAlignment="1">
      <alignment horizontal="left"/>
    </xf>
    <xf numFmtId="0" fontId="14" fillId="0" borderId="0" xfId="4" applyFont="1" applyAlignment="1">
      <alignment horizontal="center"/>
    </xf>
    <xf numFmtId="0" fontId="9" fillId="2" borderId="11" xfId="4" applyFont="1" applyFill="1" applyBorder="1"/>
    <xf numFmtId="0" fontId="15" fillId="0" borderId="0" xfId="4" applyFont="1"/>
    <xf numFmtId="0" fontId="15" fillId="0" borderId="0" xfId="4" applyFont="1" applyAlignment="1">
      <alignment horizontal="center"/>
    </xf>
    <xf numFmtId="0" fontId="16" fillId="0" borderId="0" xfId="4" applyFont="1" applyAlignment="1">
      <alignment horizontal="center"/>
    </xf>
    <xf numFmtId="0" fontId="11" fillId="0" borderId="0" xfId="4" applyFont="1"/>
    <xf numFmtId="0" fontId="11" fillId="3" borderId="1" xfId="4" applyFont="1" applyFill="1" applyBorder="1" applyAlignment="1">
      <alignment horizontal="center"/>
    </xf>
    <xf numFmtId="0" fontId="8" fillId="0" borderId="0" xfId="4"/>
    <xf numFmtId="0" fontId="11" fillId="0" borderId="21" xfId="4" applyFont="1" applyBorder="1" applyAlignment="1">
      <alignment horizontal="center"/>
    </xf>
    <xf numFmtId="44" fontId="18" fillId="5" borderId="1" xfId="6" applyFont="1" applyFill="1" applyBorder="1" applyAlignment="1">
      <alignment horizontal="center"/>
    </xf>
    <xf numFmtId="44" fontId="8" fillId="0" borderId="0" xfId="6" applyFont="1" applyFill="1" applyBorder="1" applyAlignment="1">
      <alignment horizontal="center"/>
    </xf>
    <xf numFmtId="10" fontId="19" fillId="5" borderId="1" xfId="4" applyNumberFormat="1" applyFont="1" applyFill="1" applyBorder="1" applyAlignment="1">
      <alignment horizontal="center"/>
    </xf>
    <xf numFmtId="10" fontId="11" fillId="0" borderId="0" xfId="4" applyNumberFormat="1" applyFont="1" applyAlignment="1">
      <alignment horizontal="center"/>
    </xf>
    <xf numFmtId="0" fontId="22" fillId="0" borderId="25" xfId="4" applyFont="1" applyBorder="1" applyAlignment="1">
      <alignment horizontal="center" wrapText="1"/>
    </xf>
    <xf numFmtId="0" fontId="23" fillId="5" borderId="22" xfId="4" applyFont="1" applyFill="1" applyBorder="1" applyAlignment="1">
      <alignment horizontal="center" wrapText="1"/>
    </xf>
    <xf numFmtId="0" fontId="22" fillId="0" borderId="26" xfId="4" applyFont="1" applyBorder="1" applyAlignment="1">
      <alignment horizontal="center" wrapText="1"/>
    </xf>
    <xf numFmtId="0" fontId="24" fillId="0" borderId="22" xfId="4" applyFont="1" applyBorder="1" applyAlignment="1">
      <alignment horizontal="center" wrapText="1"/>
    </xf>
    <xf numFmtId="0" fontId="22" fillId="0" borderId="27" xfId="4" applyFont="1" applyBorder="1" applyAlignment="1">
      <alignment horizontal="center" wrapText="1"/>
    </xf>
    <xf numFmtId="0" fontId="25" fillId="0" borderId="7" xfId="4" applyFont="1" applyBorder="1" applyAlignment="1">
      <alignment horizontal="center"/>
    </xf>
    <xf numFmtId="10" fontId="3" fillId="5" borderId="22" xfId="4" applyNumberFormat="1" applyFont="1" applyFill="1" applyBorder="1" applyAlignment="1">
      <alignment horizontal="center"/>
    </xf>
    <xf numFmtId="44" fontId="25" fillId="0" borderId="10" xfId="6" applyFont="1" applyBorder="1" applyAlignment="1">
      <alignment horizontal="center"/>
    </xf>
    <xf numFmtId="44" fontId="25" fillId="0" borderId="1" xfId="6" applyFont="1" applyBorder="1" applyAlignment="1">
      <alignment horizontal="center"/>
    </xf>
    <xf numFmtId="44" fontId="25" fillId="0" borderId="28" xfId="6" applyFont="1" applyBorder="1" applyAlignment="1">
      <alignment horizontal="center"/>
    </xf>
    <xf numFmtId="44" fontId="25" fillId="0" borderId="29" xfId="6" applyFont="1" applyBorder="1" applyAlignment="1">
      <alignment horizontal="center"/>
    </xf>
    <xf numFmtId="0" fontId="25" fillId="0" borderId="0" xfId="4" applyFont="1" applyAlignment="1">
      <alignment horizontal="center"/>
    </xf>
    <xf numFmtId="0" fontId="25" fillId="0" borderId="30" xfId="4" applyFont="1" applyBorder="1" applyAlignment="1">
      <alignment horizontal="center"/>
    </xf>
    <xf numFmtId="44" fontId="25" fillId="0" borderId="31" xfId="6" applyFont="1" applyBorder="1" applyAlignment="1">
      <alignment horizontal="center"/>
    </xf>
    <xf numFmtId="0" fontId="25" fillId="0" borderId="31" xfId="4" applyFont="1" applyBorder="1" applyAlignment="1">
      <alignment horizontal="center"/>
    </xf>
    <xf numFmtId="10" fontId="3" fillId="5" borderId="32" xfId="4" applyNumberFormat="1" applyFont="1" applyFill="1" applyBorder="1" applyAlignment="1">
      <alignment horizontal="center"/>
    </xf>
    <xf numFmtId="44" fontId="25" fillId="0" borderId="33" xfId="6" applyFont="1" applyBorder="1" applyAlignment="1">
      <alignment horizontal="center"/>
    </xf>
    <xf numFmtId="44" fontId="25" fillId="0" borderId="34" xfId="6" applyFont="1" applyBorder="1" applyAlignment="1">
      <alignment horizontal="center"/>
    </xf>
    <xf numFmtId="44" fontId="25" fillId="0" borderId="35" xfId="6" applyFont="1" applyBorder="1" applyAlignment="1">
      <alignment horizontal="center"/>
    </xf>
    <xf numFmtId="0" fontId="21" fillId="0" borderId="0" xfId="4" applyFont="1" applyAlignment="1">
      <alignment horizontal="center"/>
    </xf>
    <xf numFmtId="0" fontId="11" fillId="0" borderId="27" xfId="4" applyFont="1" applyBorder="1" applyAlignment="1">
      <alignment horizontal="center"/>
    </xf>
    <xf numFmtId="10" fontId="8" fillId="0" borderId="27" xfId="4" applyNumberFormat="1" applyBorder="1" applyAlignment="1">
      <alignment horizontal="center"/>
    </xf>
    <xf numFmtId="10" fontId="8" fillId="0" borderId="0" xfId="4" applyNumberFormat="1" applyAlignment="1">
      <alignment horizontal="center"/>
    </xf>
    <xf numFmtId="0" fontId="11" fillId="0" borderId="1" xfId="4" applyFont="1" applyBorder="1" applyAlignment="1">
      <alignment horizontal="center"/>
    </xf>
    <xf numFmtId="10" fontId="11" fillId="0" borderId="1" xfId="4" applyNumberFormat="1" applyFont="1" applyBorder="1" applyAlignment="1">
      <alignment horizontal="center"/>
    </xf>
    <xf numFmtId="10" fontId="8" fillId="0" borderId="1" xfId="4" applyNumberFormat="1" applyBorder="1" applyAlignment="1">
      <alignment horizontal="center"/>
    </xf>
    <xf numFmtId="10" fontId="11" fillId="0" borderId="31" xfId="4" applyNumberFormat="1" applyFont="1" applyBorder="1" applyAlignment="1">
      <alignment horizontal="center"/>
    </xf>
    <xf numFmtId="0" fontId="26" fillId="0" borderId="0" xfId="4" applyFont="1" applyAlignment="1">
      <alignment horizontal="center"/>
    </xf>
    <xf numFmtId="10" fontId="11" fillId="0" borderId="27" xfId="7" applyNumberFormat="1" applyFont="1" applyBorder="1" applyAlignment="1">
      <alignment horizontal="center"/>
    </xf>
    <xf numFmtId="10" fontId="11" fillId="0" borderId="0" xfId="7" applyNumberFormat="1" applyFont="1" applyBorder="1" applyAlignment="1">
      <alignment horizontal="center"/>
    </xf>
    <xf numFmtId="10" fontId="11" fillId="0" borderId="1" xfId="7" applyNumberFormat="1" applyFont="1" applyBorder="1" applyAlignment="1">
      <alignment horizontal="center"/>
    </xf>
    <xf numFmtId="10" fontId="11" fillId="0" borderId="42" xfId="4" applyNumberFormat="1" applyFont="1" applyBorder="1" applyAlignment="1">
      <alignment horizontal="center"/>
    </xf>
    <xf numFmtId="10" fontId="11" fillId="0" borderId="43" xfId="4" applyNumberFormat="1" applyFont="1" applyBorder="1" applyAlignment="1">
      <alignment horizontal="center"/>
    </xf>
    <xf numFmtId="10" fontId="11" fillId="0" borderId="27" xfId="4" applyNumberFormat="1" applyFont="1" applyBorder="1" applyAlignment="1">
      <alignment horizontal="center"/>
    </xf>
    <xf numFmtId="0" fontId="16" fillId="0" borderId="0" xfId="4" applyFont="1"/>
    <xf numFmtId="0" fontId="25" fillId="0" borderId="27" xfId="4" applyFont="1" applyBorder="1" applyAlignment="1">
      <alignment horizontal="center" wrapText="1"/>
    </xf>
    <xf numFmtId="0" fontId="25" fillId="0" borderId="25" xfId="4" applyFont="1" applyBorder="1" applyAlignment="1">
      <alignment horizontal="center" wrapText="1"/>
    </xf>
    <xf numFmtId="0" fontId="24" fillId="0" borderId="48" xfId="4" applyFont="1" applyBorder="1" applyAlignment="1">
      <alignment horizontal="center" wrapText="1"/>
    </xf>
    <xf numFmtId="0" fontId="11" fillId="0" borderId="27" xfId="4" applyFont="1" applyBorder="1" applyAlignment="1">
      <alignment horizontal="center" wrapText="1"/>
    </xf>
    <xf numFmtId="0" fontId="11" fillId="0" borderId="0" xfId="4" applyFont="1" applyAlignment="1">
      <alignment wrapText="1"/>
    </xf>
    <xf numFmtId="10" fontId="25" fillId="0" borderId="1" xfId="4" applyNumberFormat="1" applyFont="1" applyBorder="1" applyAlignment="1">
      <alignment horizontal="center"/>
    </xf>
    <xf numFmtId="10" fontId="25" fillId="0" borderId="7" xfId="4" applyNumberFormat="1" applyFont="1" applyBorder="1" applyAlignment="1">
      <alignment horizontal="center"/>
    </xf>
    <xf numFmtId="10" fontId="0" fillId="0" borderId="0" xfId="7" applyNumberFormat="1" applyFont="1" applyAlignment="1">
      <alignment horizontal="center"/>
    </xf>
    <xf numFmtId="44" fontId="25" fillId="0" borderId="49" xfId="6" applyFont="1" applyBorder="1" applyAlignment="1">
      <alignment horizontal="center"/>
    </xf>
    <xf numFmtId="10" fontId="25" fillId="0" borderId="30" xfId="4" applyNumberFormat="1" applyFont="1" applyBorder="1" applyAlignment="1">
      <alignment horizontal="center"/>
    </xf>
    <xf numFmtId="0" fontId="11" fillId="0" borderId="24" xfId="4" applyFont="1" applyBorder="1" applyAlignment="1">
      <alignment horizontal="center" wrapText="1"/>
    </xf>
    <xf numFmtId="0" fontId="21" fillId="0" borderId="25" xfId="4" applyFont="1" applyBorder="1" applyAlignment="1">
      <alignment horizontal="center"/>
    </xf>
    <xf numFmtId="0" fontId="2" fillId="0" borderId="27" xfId="4" applyFont="1" applyBorder="1" applyAlignment="1">
      <alignment horizontal="center" wrapText="1"/>
    </xf>
    <xf numFmtId="10" fontId="11" fillId="0" borderId="24" xfId="4" applyNumberFormat="1" applyFont="1" applyBorder="1" applyAlignment="1">
      <alignment horizontal="center"/>
    </xf>
    <xf numFmtId="0" fontId="8" fillId="0" borderId="0" xfId="4" applyAlignment="1">
      <alignment horizontal="center"/>
    </xf>
    <xf numFmtId="0" fontId="11" fillId="0" borderId="0" xfId="4" applyFont="1" applyAlignment="1">
      <alignment horizontal="center" wrapText="1"/>
    </xf>
    <xf numFmtId="0" fontId="11" fillId="0" borderId="50" xfId="4" applyFont="1" applyBorder="1" applyAlignment="1">
      <alignment horizontal="center"/>
    </xf>
    <xf numFmtId="0" fontId="31" fillId="0" borderId="0" xfId="0" applyFont="1"/>
    <xf numFmtId="14" fontId="31" fillId="0" borderId="0" xfId="0" applyNumberFormat="1" applyFont="1"/>
    <xf numFmtId="8" fontId="31" fillId="0" borderId="0" xfId="0" applyNumberFormat="1" applyFont="1"/>
    <xf numFmtId="166" fontId="31" fillId="0" borderId="0" xfId="1" applyNumberFormat="1" applyFont="1"/>
    <xf numFmtId="0" fontId="0" fillId="0" borderId="51" xfId="0" applyBorder="1"/>
    <xf numFmtId="0" fontId="24" fillId="0" borderId="4" xfId="0" applyFont="1" applyBorder="1" applyAlignment="1">
      <alignment horizontal="center"/>
    </xf>
    <xf numFmtId="0" fontId="24" fillId="0" borderId="4" xfId="0" applyFont="1" applyBorder="1" applyAlignment="1">
      <alignment horizontal="centerContinuous"/>
    </xf>
    <xf numFmtId="166" fontId="0" fillId="0" borderId="0" xfId="0" applyNumberFormat="1"/>
    <xf numFmtId="166" fontId="0" fillId="0" borderId="51" xfId="0" applyNumberFormat="1" applyBorder="1"/>
    <xf numFmtId="14" fontId="0" fillId="0" borderId="0" xfId="0" applyNumberFormat="1"/>
    <xf numFmtId="44" fontId="31" fillId="0" borderId="0" xfId="8" applyFont="1"/>
    <xf numFmtId="167" fontId="31" fillId="0" borderId="0" xfId="8" applyNumberFormat="1" applyFont="1"/>
    <xf numFmtId="165" fontId="31" fillId="0" borderId="0" xfId="1" applyNumberFormat="1" applyFont="1"/>
    <xf numFmtId="2" fontId="31" fillId="0" borderId="0" xfId="0" applyNumberFormat="1" applyFont="1"/>
    <xf numFmtId="44" fontId="31" fillId="0" borderId="0" xfId="0" applyNumberFormat="1" applyFont="1"/>
    <xf numFmtId="0" fontId="31" fillId="0" borderId="0" xfId="0" applyFont="1" applyAlignment="1">
      <alignment horizontal="right"/>
    </xf>
    <xf numFmtId="0" fontId="31" fillId="0" borderId="52" xfId="0" applyFont="1" applyBorder="1"/>
    <xf numFmtId="0" fontId="31" fillId="0" borderId="0" xfId="0" applyFont="1" applyAlignment="1">
      <alignment horizontal="center"/>
    </xf>
    <xf numFmtId="0" fontId="31" fillId="0" borderId="0" xfId="0" applyFont="1" applyAlignment="1">
      <alignment horizontal="left"/>
    </xf>
    <xf numFmtId="165" fontId="31" fillId="0" borderId="0" xfId="0" applyNumberFormat="1" applyFont="1"/>
    <xf numFmtId="10" fontId="31" fillId="0" borderId="0" xfId="1" applyNumberFormat="1" applyFont="1"/>
    <xf numFmtId="10" fontId="31" fillId="0" borderId="0" xfId="1" applyNumberFormat="1" applyFont="1" applyAlignment="1">
      <alignment horizontal="center"/>
    </xf>
    <xf numFmtId="0" fontId="31" fillId="0" borderId="51" xfId="0" applyFont="1" applyBorder="1" applyAlignment="1">
      <alignment horizontal="right"/>
    </xf>
    <xf numFmtId="10" fontId="31" fillId="0" borderId="0" xfId="0" applyNumberFormat="1" applyFont="1"/>
    <xf numFmtId="2" fontId="31" fillId="0" borderId="0" xfId="1" applyNumberFormat="1" applyFont="1"/>
    <xf numFmtId="166" fontId="31" fillId="0" borderId="0" xfId="0" applyNumberFormat="1" applyFont="1"/>
    <xf numFmtId="165" fontId="31" fillId="0" borderId="0" xfId="1" applyNumberFormat="1" applyFont="1" applyAlignment="1">
      <alignment horizontal="right"/>
    </xf>
    <xf numFmtId="0" fontId="24" fillId="0" borderId="4" xfId="0" applyFont="1" applyBorder="1" applyAlignment="1">
      <alignment horizontal="left"/>
    </xf>
    <xf numFmtId="168" fontId="0" fillId="0" borderId="0" xfId="0" applyNumberFormat="1"/>
    <xf numFmtId="0" fontId="0" fillId="0" borderId="0" xfId="0" applyAlignment="1">
      <alignment horizontal="center"/>
    </xf>
    <xf numFmtId="0" fontId="0" fillId="0" borderId="51" xfId="0" applyBorder="1" applyAlignment="1">
      <alignment horizontal="center"/>
    </xf>
    <xf numFmtId="166" fontId="0" fillId="0" borderId="0" xfId="0" applyNumberFormat="1" applyAlignment="1">
      <alignment horizontal="center"/>
    </xf>
    <xf numFmtId="166" fontId="0" fillId="0" borderId="51" xfId="0" applyNumberFormat="1" applyBorder="1" applyAlignment="1">
      <alignment horizontal="center"/>
    </xf>
    <xf numFmtId="0" fontId="12" fillId="2" borderId="7" xfId="5" applyFill="1" applyBorder="1" applyAlignment="1" applyProtection="1"/>
    <xf numFmtId="0" fontId="12" fillId="2" borderId="8" xfId="5" applyFill="1" applyBorder="1" applyAlignment="1" applyProtection="1"/>
    <xf numFmtId="0" fontId="12" fillId="2" borderId="9" xfId="5" applyFill="1" applyBorder="1" applyAlignment="1" applyProtection="1"/>
    <xf numFmtId="15" fontId="10" fillId="2" borderId="3" xfId="4" applyNumberFormat="1" applyFont="1" applyFill="1" applyBorder="1" applyAlignment="1">
      <alignment horizontal="left"/>
    </xf>
    <xf numFmtId="15" fontId="10" fillId="2" borderId="4" xfId="4" applyNumberFormat="1" applyFont="1" applyFill="1" applyBorder="1" applyAlignment="1">
      <alignment horizontal="left"/>
    </xf>
    <xf numFmtId="15" fontId="10" fillId="2" borderId="5" xfId="4" applyNumberFormat="1" applyFont="1" applyFill="1" applyBorder="1" applyAlignment="1">
      <alignment horizontal="left"/>
    </xf>
    <xf numFmtId="0" fontId="12" fillId="2" borderId="7" xfId="5" applyFill="1" applyBorder="1" applyAlignment="1" applyProtection="1">
      <alignment horizontal="left"/>
    </xf>
    <xf numFmtId="0" fontId="12" fillId="2" borderId="8" xfId="5" applyFill="1" applyBorder="1" applyAlignment="1" applyProtection="1">
      <alignment horizontal="left"/>
    </xf>
    <xf numFmtId="0" fontId="12" fillId="2" borderId="9" xfId="5" applyFill="1" applyBorder="1" applyAlignment="1" applyProtection="1">
      <alignment horizontal="left"/>
    </xf>
    <xf numFmtId="0" fontId="13" fillId="2" borderId="7" xfId="4" applyFont="1" applyFill="1" applyBorder="1" applyAlignment="1">
      <alignment horizontal="left"/>
    </xf>
    <xf numFmtId="0" fontId="13" fillId="2" borderId="8" xfId="4" applyFont="1" applyFill="1" applyBorder="1" applyAlignment="1">
      <alignment horizontal="left"/>
    </xf>
    <xf numFmtId="0" fontId="13" fillId="2" borderId="10" xfId="4" applyFont="1" applyFill="1" applyBorder="1" applyAlignment="1">
      <alignment horizontal="left"/>
    </xf>
    <xf numFmtId="0" fontId="13" fillId="2" borderId="7" xfId="4" applyFont="1" applyFill="1" applyBorder="1" applyAlignment="1">
      <alignment horizontal="center"/>
    </xf>
    <xf numFmtId="0" fontId="13" fillId="2" borderId="8" xfId="4" applyFont="1" applyFill="1" applyBorder="1" applyAlignment="1">
      <alignment horizontal="center"/>
    </xf>
    <xf numFmtId="0" fontId="13" fillId="2" borderId="9" xfId="4" applyFont="1" applyFill="1" applyBorder="1" applyAlignment="1">
      <alignment horizontal="center"/>
    </xf>
    <xf numFmtId="15" fontId="7" fillId="2" borderId="7" xfId="3" applyNumberFormat="1" applyFill="1" applyBorder="1" applyAlignment="1" applyProtection="1">
      <alignment horizontal="left"/>
    </xf>
    <xf numFmtId="15" fontId="12" fillId="2" borderId="8" xfId="5" applyNumberFormat="1" applyFill="1" applyBorder="1" applyAlignment="1" applyProtection="1">
      <alignment horizontal="left"/>
    </xf>
    <xf numFmtId="15" fontId="12" fillId="2" borderId="9" xfId="5" applyNumberFormat="1" applyFill="1" applyBorder="1" applyAlignment="1" applyProtection="1">
      <alignment horizontal="left"/>
    </xf>
    <xf numFmtId="0" fontId="12" fillId="2" borderId="12" xfId="5" applyFill="1" applyBorder="1" applyAlignment="1" applyProtection="1">
      <alignment horizontal="left"/>
    </xf>
    <xf numFmtId="0" fontId="12" fillId="2" borderId="13" xfId="5" applyFill="1" applyBorder="1" applyAlignment="1" applyProtection="1">
      <alignment horizontal="left"/>
    </xf>
    <xf numFmtId="0" fontId="12" fillId="2" borderId="14" xfId="5" applyFill="1" applyBorder="1" applyAlignment="1" applyProtection="1">
      <alignment horizontal="left"/>
    </xf>
    <xf numFmtId="0" fontId="17" fillId="4" borderId="15" xfId="4" applyFont="1" applyFill="1" applyBorder="1" applyAlignment="1">
      <alignment horizontal="center" wrapText="1"/>
    </xf>
    <xf numFmtId="0" fontId="17" fillId="4" borderId="16" xfId="4" applyFont="1" applyFill="1" applyBorder="1" applyAlignment="1">
      <alignment horizontal="center" wrapText="1"/>
    </xf>
    <xf numFmtId="0" fontId="17" fillId="4" borderId="17" xfId="4" applyFont="1" applyFill="1" applyBorder="1" applyAlignment="1">
      <alignment horizontal="center" wrapText="1"/>
    </xf>
    <xf numFmtId="0" fontId="17" fillId="4" borderId="18" xfId="4" applyFont="1" applyFill="1" applyBorder="1" applyAlignment="1">
      <alignment horizontal="center" wrapText="1"/>
    </xf>
    <xf numFmtId="0" fontId="17" fillId="4" borderId="19" xfId="4" applyFont="1" applyFill="1" applyBorder="1" applyAlignment="1">
      <alignment horizontal="center" wrapText="1"/>
    </xf>
    <xf numFmtId="0" fontId="17" fillId="4" borderId="20" xfId="4" applyFont="1" applyFill="1" applyBorder="1" applyAlignment="1">
      <alignment horizontal="center" wrapText="1"/>
    </xf>
    <xf numFmtId="0" fontId="20" fillId="5" borderId="22" xfId="4" applyFont="1" applyFill="1" applyBorder="1" applyAlignment="1">
      <alignment horizontal="center"/>
    </xf>
    <xf numFmtId="0" fontId="21" fillId="0" borderId="23" xfId="4" applyFont="1" applyBorder="1" applyAlignment="1">
      <alignment horizontal="center"/>
    </xf>
    <xf numFmtId="0" fontId="21" fillId="0" borderId="24" xfId="4" applyFont="1" applyBorder="1" applyAlignment="1">
      <alignment horizontal="center"/>
    </xf>
    <xf numFmtId="0" fontId="21" fillId="0" borderId="47" xfId="4" applyFont="1" applyBorder="1" applyAlignment="1">
      <alignment horizontal="center"/>
    </xf>
    <xf numFmtId="0" fontId="29" fillId="0" borderId="36" xfId="4" applyFont="1" applyBorder="1" applyAlignment="1">
      <alignment horizontal="center"/>
    </xf>
    <xf numFmtId="0" fontId="29" fillId="0" borderId="38" xfId="4" applyFont="1" applyBorder="1" applyAlignment="1">
      <alignment horizontal="center"/>
    </xf>
    <xf numFmtId="0" fontId="21" fillId="0" borderId="36" xfId="4" applyFont="1" applyBorder="1" applyAlignment="1">
      <alignment horizontal="center"/>
    </xf>
    <xf numFmtId="0" fontId="21" fillId="0" borderId="37" xfId="4" applyFont="1" applyBorder="1" applyAlignment="1">
      <alignment horizontal="center"/>
    </xf>
    <xf numFmtId="0" fontId="21" fillId="0" borderId="38" xfId="4" applyFont="1" applyBorder="1" applyAlignment="1">
      <alignment horizontal="center"/>
    </xf>
    <xf numFmtId="0" fontId="26" fillId="0" borderId="39" xfId="4" applyFont="1" applyBorder="1" applyAlignment="1">
      <alignment horizontal="center"/>
    </xf>
    <xf numFmtId="0" fontId="8" fillId="0" borderId="40" xfId="4" applyBorder="1" applyAlignment="1">
      <alignment horizontal="center"/>
    </xf>
    <xf numFmtId="0" fontId="26" fillId="0" borderId="40" xfId="4" applyFont="1" applyBorder="1" applyAlignment="1">
      <alignment horizontal="center"/>
    </xf>
    <xf numFmtId="0" fontId="26" fillId="0" borderId="41" xfId="4" applyFont="1" applyBorder="1" applyAlignment="1">
      <alignment horizontal="center"/>
    </xf>
    <xf numFmtId="0" fontId="30" fillId="0" borderId="47" xfId="4" applyFont="1" applyBorder="1" applyAlignment="1">
      <alignment horizontal="center"/>
    </xf>
    <xf numFmtId="0" fontId="30" fillId="0" borderId="23" xfId="4" applyFont="1" applyBorder="1" applyAlignment="1">
      <alignment horizontal="center"/>
    </xf>
    <xf numFmtId="0" fontId="21" fillId="0" borderId="44" xfId="4" applyFont="1" applyBorder="1" applyAlignment="1">
      <alignment horizontal="center"/>
    </xf>
    <xf numFmtId="0" fontId="21" fillId="0" borderId="45" xfId="4" applyFont="1" applyBorder="1" applyAlignment="1">
      <alignment horizontal="center"/>
    </xf>
    <xf numFmtId="0" fontId="21" fillId="0" borderId="46" xfId="4" applyFont="1" applyBorder="1" applyAlignment="1">
      <alignment horizontal="center"/>
    </xf>
    <xf numFmtId="0" fontId="26" fillId="0" borderId="24" xfId="4" applyFont="1" applyBorder="1" applyAlignment="1">
      <alignment horizontal="center"/>
    </xf>
    <xf numFmtId="10" fontId="0" fillId="0" borderId="0" xfId="1" applyNumberFormat="1" applyFont="1"/>
  </cellXfs>
  <cellStyles count="9">
    <cellStyle name="Currency" xfId="8" builtinId="4"/>
    <cellStyle name="Currency 2" xfId="6" xr:uid="{B29DA6FB-6223-B541-AF9A-EF419116C9F4}"/>
    <cellStyle name="Hyperlink" xfId="3" builtinId="8"/>
    <cellStyle name="Hyperlink 2" xfId="5" xr:uid="{1522A600-FBDE-B547-972B-4982149ECD36}"/>
    <cellStyle name="Normal" xfId="0" builtinId="0"/>
    <cellStyle name="Normal 2" xfId="4" xr:uid="{14E24788-EA67-D141-B3D4-CF290B072DAB}"/>
    <cellStyle name="Normal 3" xfId="2" xr:uid="{4ACDEEE9-5C5A-3D4C-92E0-9465725A1AA2}"/>
    <cellStyle name="Percent" xfId="1" builtinId="5"/>
    <cellStyle name="Percent 2" xfId="7" xr:uid="{8BA4CF5A-901E-1B48-A724-DD5706B336B2}"/>
  </cellStyles>
  <dxfs count="31">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Times"/>
        <family val="1"/>
        <scheme val="none"/>
      </font>
      <numFmt numFmtId="14" formatCode="0.00%"/>
      <alignment horizontal="center"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4" formatCode="0.00%"/>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14" formatCode="0.00%"/>
      <alignment horizontal="center" vertical="bottom" textRotation="0" wrapText="0" indent="0" justifyLastLine="0" shrinkToFit="0" readingOrder="0"/>
      <border diagonalUp="0" diagonalDown="0">
        <left style="thin">
          <color indexed="64"/>
        </left>
        <right/>
        <top style="thin">
          <color indexed="64"/>
        </top>
        <bottom/>
      </border>
    </dxf>
    <dxf>
      <font>
        <b val="0"/>
        <i val="0"/>
        <strike val="0"/>
        <condense val="0"/>
        <extend val="0"/>
        <outline val="0"/>
        <shadow val="0"/>
        <u val="none"/>
        <vertAlign val="baseline"/>
        <sz val="12"/>
        <color auto="1"/>
        <name val="Aptos Narrow"/>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scheme val="minor"/>
      </font>
      <numFmt numFmtId="14"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34" formatCode="_(&quot;$&quot;* #,##0.00_);_(&quot;$&quot;* \(#,##0.00\);_(&quot;$&quot;* &quot;-&quot;??_);_(@_)"/>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family val="2"/>
        <scheme val="minor"/>
      </font>
      <numFmt numFmtId="34" formatCode="_(&quot;$&quot;* #,##0.00_);_(&quot;$&quot;* \(#,##0.00\);_(&quot;$&quot;* &quot;-&quot;??_);_(@_)"/>
      <alignment horizontal="center" vertical="bottom" textRotation="0" wrapText="0"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2"/>
        <color auto="1"/>
        <name val="Aptos Narrow"/>
        <scheme val="minor"/>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0"/>
        <name val="Aptos Narrow"/>
        <family val="2"/>
        <scheme val="minor"/>
      </font>
      <numFmt numFmtId="14" formatCode="0.00%"/>
      <fill>
        <patternFill patternType="solid">
          <fgColor indexed="64"/>
          <bgColor theme="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family val="2"/>
        <scheme val="minor"/>
      </font>
      <numFmt numFmtId="14" formatCode="0.00%"/>
      <fill>
        <patternFill patternType="solid">
          <fgColor indexed="64"/>
          <bgColor theme="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family val="2"/>
        <scheme val="minor"/>
      </font>
      <numFmt numFmtId="14" formatCode="0.00%"/>
      <fill>
        <patternFill patternType="solid">
          <fgColor indexed="64"/>
          <bgColor theme="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scheme val="minor"/>
      </font>
      <numFmt numFmtId="14" formatCode="0.00%"/>
      <fill>
        <patternFill patternType="solid">
          <fgColor indexed="64"/>
          <bgColor theme="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scheme val="minor"/>
      </font>
      <numFmt numFmtId="14" formatCode="0.00%"/>
      <fill>
        <patternFill patternType="solid">
          <fgColor indexed="64"/>
          <bgColor theme="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family val="2"/>
        <scheme val="minor"/>
      </font>
      <numFmt numFmtId="14" formatCode="0.00%"/>
      <fill>
        <patternFill patternType="solid">
          <fgColor indexed="64"/>
          <bgColor theme="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theme="0"/>
        <name val="Aptos Narrow"/>
        <scheme val="minor"/>
      </font>
      <numFmt numFmtId="14" formatCode="0.00%"/>
      <fill>
        <patternFill patternType="solid">
          <fgColor indexed="64"/>
          <bgColor theme="1"/>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border>
    </dxf>
    <dxf>
      <font>
        <b val="0"/>
        <i val="0"/>
        <strike val="0"/>
        <condense val="0"/>
        <extend val="0"/>
        <outline val="0"/>
        <shadow val="0"/>
        <u val="none"/>
        <vertAlign val="baseline"/>
        <sz val="12"/>
        <color auto="1"/>
        <name val="Aptos Narrow"/>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top style="thin">
          <color indexed="64"/>
        </top>
      </border>
    </dxf>
    <dxf>
      <border outline="0">
        <bottom style="thin">
          <color indexed="64"/>
        </bottom>
      </border>
    </dxf>
    <dxf>
      <font>
        <b val="0"/>
        <i val="0"/>
        <strike val="0"/>
        <condense val="0"/>
        <extend val="0"/>
        <outline val="0"/>
        <shadow val="0"/>
        <u val="none"/>
        <vertAlign val="baseline"/>
        <sz val="12"/>
        <color auto="1"/>
        <name val="Aptos Narrow"/>
        <scheme val="minor"/>
      </font>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Portfolio Mean Excess Returns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'Data Descriptors 1'!$BC$8</c:f>
              <c:strCache>
                <c:ptCount val="1"/>
                <c:pt idx="0">
                  <c:v>Portfolio Mean Excess Return</c:v>
                </c:pt>
              </c:strCache>
            </c:strRef>
          </c:tx>
          <c:spPr>
            <a:ln w="28575" cap="rnd">
              <a:solidFill>
                <a:schemeClr val="accent1"/>
              </a:solidFill>
              <a:round/>
            </a:ln>
            <a:effectLst/>
          </c:spPr>
          <c:marker>
            <c:symbol val="none"/>
          </c:marker>
          <c:cat>
            <c:numRef>
              <c:f>'Data Descriptors 1'!$BB$9:$BB$43</c:f>
              <c:numCache>
                <c:formatCode>m/d/yy</c:formatCode>
                <c:ptCount val="35"/>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pt idx="15">
                  <c:v>45323</c:v>
                </c:pt>
                <c:pt idx="16">
                  <c:v>45352</c:v>
                </c:pt>
                <c:pt idx="17">
                  <c:v>45383</c:v>
                </c:pt>
                <c:pt idx="18">
                  <c:v>45413</c:v>
                </c:pt>
                <c:pt idx="19">
                  <c:v>45444</c:v>
                </c:pt>
                <c:pt idx="20">
                  <c:v>45474</c:v>
                </c:pt>
                <c:pt idx="21">
                  <c:v>45505</c:v>
                </c:pt>
                <c:pt idx="22">
                  <c:v>45536</c:v>
                </c:pt>
                <c:pt idx="23">
                  <c:v>45566</c:v>
                </c:pt>
                <c:pt idx="24">
                  <c:v>45597</c:v>
                </c:pt>
                <c:pt idx="25">
                  <c:v>45627</c:v>
                </c:pt>
                <c:pt idx="26">
                  <c:v>45658</c:v>
                </c:pt>
                <c:pt idx="27">
                  <c:v>45689</c:v>
                </c:pt>
                <c:pt idx="28">
                  <c:v>45717</c:v>
                </c:pt>
                <c:pt idx="29">
                  <c:v>45748</c:v>
                </c:pt>
                <c:pt idx="30">
                  <c:v>45778</c:v>
                </c:pt>
                <c:pt idx="31">
                  <c:v>45809</c:v>
                </c:pt>
                <c:pt idx="32">
                  <c:v>45839</c:v>
                </c:pt>
                <c:pt idx="33">
                  <c:v>45870</c:v>
                </c:pt>
                <c:pt idx="34">
                  <c:v>45901</c:v>
                </c:pt>
              </c:numCache>
            </c:numRef>
          </c:cat>
          <c:val>
            <c:numRef>
              <c:f>'Data Descriptors 1'!$BC$9:$BC$43</c:f>
              <c:numCache>
                <c:formatCode>0.0000</c:formatCode>
                <c:ptCount val="35"/>
                <c:pt idx="0">
                  <c:v>1.1549168794388916E-2</c:v>
                </c:pt>
                <c:pt idx="1">
                  <c:v>0.20206747249647794</c:v>
                </c:pt>
                <c:pt idx="2">
                  <c:v>0.11403010503069325</c:v>
                </c:pt>
                <c:pt idx="3">
                  <c:v>-2.5824756471857373E-2</c:v>
                </c:pt>
                <c:pt idx="4">
                  <c:v>3.7840497761729673E-2</c:v>
                </c:pt>
                <c:pt idx="5">
                  <c:v>9.9767017007443108E-3</c:v>
                </c:pt>
                <c:pt idx="6">
                  <c:v>7.8696118687723252E-3</c:v>
                </c:pt>
                <c:pt idx="7">
                  <c:v>4.6776048434807226E-2</c:v>
                </c:pt>
                <c:pt idx="8">
                  <c:v>2.1610481682725523E-2</c:v>
                </c:pt>
                <c:pt idx="9">
                  <c:v>-3.0044074979793767E-2</c:v>
                </c:pt>
                <c:pt idx="10">
                  <c:v>-1.4842710186444993E-2</c:v>
                </c:pt>
                <c:pt idx="11">
                  <c:v>-1.9617672712276185E-2</c:v>
                </c:pt>
                <c:pt idx="12">
                  <c:v>6.9413337832091151E-2</c:v>
                </c:pt>
                <c:pt idx="13">
                  <c:v>8.2977289840439172E-2</c:v>
                </c:pt>
                <c:pt idx="14">
                  <c:v>1.5330617612388697E-2</c:v>
                </c:pt>
                <c:pt idx="15">
                  <c:v>4.9992269994408159E-2</c:v>
                </c:pt>
                <c:pt idx="16">
                  <c:v>-1.4874183719397355E-2</c:v>
                </c:pt>
                <c:pt idx="17">
                  <c:v>-3.0050907196569075E-2</c:v>
                </c:pt>
                <c:pt idx="18">
                  <c:v>8.34978745449141E-2</c:v>
                </c:pt>
                <c:pt idx="19">
                  <c:v>3.9021196038413641E-2</c:v>
                </c:pt>
                <c:pt idx="20">
                  <c:v>-4.8108730186592541E-3</c:v>
                </c:pt>
                <c:pt idx="21">
                  <c:v>4.9651718505053559E-2</c:v>
                </c:pt>
                <c:pt idx="22">
                  <c:v>4.0648020643395955E-3</c:v>
                </c:pt>
                <c:pt idx="23">
                  <c:v>-2.0590816453838812E-2</c:v>
                </c:pt>
                <c:pt idx="24">
                  <c:v>7.4851945382948218E-2</c:v>
                </c:pt>
                <c:pt idx="25">
                  <c:v>-3.6784630575224242E-2</c:v>
                </c:pt>
                <c:pt idx="26">
                  <c:v>3.8332433711842813E-2</c:v>
                </c:pt>
                <c:pt idx="27">
                  <c:v>3.5734999201055585E-2</c:v>
                </c:pt>
                <c:pt idx="28">
                  <c:v>-8.1694877571939203E-2</c:v>
                </c:pt>
                <c:pt idx="29">
                  <c:v>1.0171116851470735E-2</c:v>
                </c:pt>
                <c:pt idx="30">
                  <c:v>2.6347872035385463E-2</c:v>
                </c:pt>
                <c:pt idx="31">
                  <c:v>-1.8920673578189412E-2</c:v>
                </c:pt>
                <c:pt idx="32">
                  <c:v>-3.1149104992933701E-2</c:v>
                </c:pt>
                <c:pt idx="33">
                  <c:v>2.5996275999705578E-2</c:v>
                </c:pt>
                <c:pt idx="34">
                  <c:v>6.7384466642137764E-3</c:v>
                </c:pt>
              </c:numCache>
            </c:numRef>
          </c:val>
          <c:smooth val="0"/>
          <c:extLst>
            <c:ext xmlns:c16="http://schemas.microsoft.com/office/drawing/2014/chart" uri="{C3380CC4-5D6E-409C-BE32-E72D297353CC}">
              <c16:uniqueId val="{00000000-2EF2-4847-927C-F90806D0919D}"/>
            </c:ext>
          </c:extLst>
        </c:ser>
        <c:dLbls>
          <c:showLegendKey val="0"/>
          <c:showVal val="0"/>
          <c:showCatName val="0"/>
          <c:showSerName val="0"/>
          <c:showPercent val="0"/>
          <c:showBubbleSize val="0"/>
        </c:dLbls>
        <c:smooth val="0"/>
        <c:axId val="1488927615"/>
        <c:axId val="1488922687"/>
      </c:lineChart>
      <c:dateAx>
        <c:axId val="1488927615"/>
        <c:scaling>
          <c:orientation val="minMax"/>
        </c:scaling>
        <c:delete val="0"/>
        <c:axPos val="b"/>
        <c:numFmt formatCode="m/d/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22687"/>
        <c:crosses val="autoZero"/>
        <c:auto val="1"/>
        <c:lblOffset val="100"/>
        <c:baseTimeUnit val="months"/>
      </c:dateAx>
      <c:valAx>
        <c:axId val="1488922687"/>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927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a:solidFill>
                  <a:schemeClr val="tx1"/>
                </a:solidFill>
              </a:rPr>
              <a:t>Portfolio Returns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'Data Descriptors 1'!$R$2</c:f>
              <c:strCache>
                <c:ptCount val="1"/>
                <c:pt idx="0">
                  <c:v>Returns</c:v>
                </c:pt>
              </c:strCache>
            </c:strRef>
          </c:tx>
          <c:spPr>
            <a:ln w="28575" cap="rnd">
              <a:solidFill>
                <a:schemeClr val="accent1"/>
              </a:solidFill>
              <a:round/>
            </a:ln>
            <a:effectLst/>
          </c:spPr>
          <c:marker>
            <c:symbol val="none"/>
          </c:marker>
          <c:cat>
            <c:strRef>
              <c:f>'Data Descriptors 1'!$O$3:$O$38</c:f>
              <c:strCache>
                <c:ptCount val="36"/>
                <c:pt idx="0">
                  <c:v>11/1/22</c:v>
                </c:pt>
                <c:pt idx="1">
                  <c:v>12/1/22</c:v>
                </c:pt>
                <c:pt idx="2">
                  <c:v>1/1/23</c:v>
                </c:pt>
                <c:pt idx="3">
                  <c:v>2/1/23</c:v>
                </c:pt>
                <c:pt idx="4">
                  <c:v>3/1/23</c:v>
                </c:pt>
                <c:pt idx="5">
                  <c:v>4/1/23</c:v>
                </c:pt>
                <c:pt idx="6">
                  <c:v>5/1/23</c:v>
                </c:pt>
                <c:pt idx="7">
                  <c:v>6/1/23</c:v>
                </c:pt>
                <c:pt idx="8">
                  <c:v>7/1/23</c:v>
                </c:pt>
                <c:pt idx="9">
                  <c:v>8/1/23</c:v>
                </c:pt>
                <c:pt idx="10">
                  <c:v>9/1/23</c:v>
                </c:pt>
                <c:pt idx="11">
                  <c:v>10/1/23</c:v>
                </c:pt>
                <c:pt idx="12">
                  <c:v>11/1/23</c:v>
                </c:pt>
                <c:pt idx="13">
                  <c:v>12/1/23</c:v>
                </c:pt>
                <c:pt idx="14">
                  <c:v>1/1/24</c:v>
                </c:pt>
                <c:pt idx="15">
                  <c:v>2/1/24</c:v>
                </c:pt>
                <c:pt idx="16">
                  <c:v>3/1/24</c:v>
                </c:pt>
                <c:pt idx="17">
                  <c:v>4/1/24</c:v>
                </c:pt>
                <c:pt idx="18">
                  <c:v>5/1/24</c:v>
                </c:pt>
                <c:pt idx="19">
                  <c:v>6/1/24</c:v>
                </c:pt>
                <c:pt idx="20">
                  <c:v>7/1/24</c:v>
                </c:pt>
                <c:pt idx="21">
                  <c:v>8/1/24</c:v>
                </c:pt>
                <c:pt idx="22">
                  <c:v>9/1/24</c:v>
                </c:pt>
                <c:pt idx="23">
                  <c:v>10/1/24</c:v>
                </c:pt>
                <c:pt idx="24">
                  <c:v>11/1/24</c:v>
                </c:pt>
                <c:pt idx="25">
                  <c:v>12/1/24</c:v>
                </c:pt>
                <c:pt idx="26">
                  <c:v>1/1/25</c:v>
                </c:pt>
                <c:pt idx="27">
                  <c:v>2/1/25</c:v>
                </c:pt>
                <c:pt idx="28">
                  <c:v>3/1/25</c:v>
                </c:pt>
                <c:pt idx="29">
                  <c:v>4/1/25</c:v>
                </c:pt>
                <c:pt idx="30">
                  <c:v>5/1/25</c:v>
                </c:pt>
                <c:pt idx="31">
                  <c:v>6/1/25</c:v>
                </c:pt>
                <c:pt idx="32">
                  <c:v>7/1/25</c:v>
                </c:pt>
                <c:pt idx="33">
                  <c:v>8/1/25</c:v>
                </c:pt>
                <c:pt idx="34">
                  <c:v>9/1/25</c:v>
                </c:pt>
                <c:pt idx="35">
                  <c:v>As of Oct-28-2025</c:v>
                </c:pt>
              </c:strCache>
            </c:strRef>
          </c:cat>
          <c:val>
            <c:numRef>
              <c:f>'Data Descriptors 1'!$R$3:$R$38</c:f>
              <c:numCache>
                <c:formatCode>0.0000</c:formatCode>
                <c:ptCount val="36"/>
                <c:pt idx="0">
                  <c:v>1.5079796177025902E-2</c:v>
                </c:pt>
                <c:pt idx="1">
                  <c:v>0.20563016002446233</c:v>
                </c:pt>
                <c:pt idx="2">
                  <c:v>0.11785685979234364</c:v>
                </c:pt>
                <c:pt idx="3">
                  <c:v>-2.1918131972017346E-2</c:v>
                </c:pt>
                <c:pt idx="4">
                  <c:v>4.1802989517839971E-2</c:v>
                </c:pt>
                <c:pt idx="5">
                  <c:v>1.4106590342946406E-2</c:v>
                </c:pt>
                <c:pt idx="6">
                  <c:v>1.2190436111136566E-2</c:v>
                </c:pt>
                <c:pt idx="7">
                  <c:v>5.1184251555728387E-2</c:v>
                </c:pt>
                <c:pt idx="8">
                  <c:v>2.6074246039422898E-2</c:v>
                </c:pt>
                <c:pt idx="9">
                  <c:v>-2.5524783173419208E-2</c:v>
                </c:pt>
                <c:pt idx="10">
                  <c:v>-1.0323418380070434E-2</c:v>
                </c:pt>
                <c:pt idx="11">
                  <c:v>-1.5066666087402232E-2</c:v>
                </c:pt>
                <c:pt idx="12">
                  <c:v>7.3900903801789944E-2</c:v>
                </c:pt>
                <c:pt idx="13">
                  <c:v>8.7401371050221166E-2</c:v>
                </c:pt>
                <c:pt idx="14">
                  <c:v>1.9762636831330015E-2</c:v>
                </c:pt>
                <c:pt idx="15">
                  <c:v>5.4416351204190153E-2</c:v>
                </c:pt>
                <c:pt idx="16">
                  <c:v>-1.0426290552052514E-2</c:v>
                </c:pt>
                <c:pt idx="17">
                  <c:v>-2.5626825986787082E-2</c:v>
                </c:pt>
                <c:pt idx="18">
                  <c:v>8.7937831083001142E-2</c:v>
                </c:pt>
                <c:pt idx="19">
                  <c:v>4.3500828826415316E-2</c:v>
                </c:pt>
                <c:pt idx="20">
                  <c:v>-3.9473050817542018E-4</c:v>
                </c:pt>
                <c:pt idx="21">
                  <c:v>5.3964595064883263E-2</c:v>
                </c:pt>
                <c:pt idx="22">
                  <c:v>8.0751528369648329E-3</c:v>
                </c:pt>
                <c:pt idx="23">
                  <c:v>-1.6740093430268776E-2</c:v>
                </c:pt>
                <c:pt idx="24">
                  <c:v>7.8622749706516906E-2</c:v>
                </c:pt>
                <c:pt idx="25">
                  <c:v>-3.3197905329557298E-2</c:v>
                </c:pt>
                <c:pt idx="26">
                  <c:v>4.1879092575456529E-2</c:v>
                </c:pt>
                <c:pt idx="27">
                  <c:v>3.9273642676321364E-2</c:v>
                </c:pt>
                <c:pt idx="28">
                  <c:v>-7.8148218708325487E-2</c:v>
                </c:pt>
                <c:pt idx="29">
                  <c:v>1.3701744234107721E-2</c:v>
                </c:pt>
                <c:pt idx="30">
                  <c:v>2.9910559563369851E-2</c:v>
                </c:pt>
                <c:pt idx="31">
                  <c:v>-1.5309916946386976E-2</c:v>
                </c:pt>
                <c:pt idx="32">
                  <c:v>-2.754635811988641E-2</c:v>
                </c:pt>
                <c:pt idx="33">
                  <c:v>2.9510869083724824E-2</c:v>
                </c:pt>
                <c:pt idx="34">
                  <c:v>1.0068442460715837E-2</c:v>
                </c:pt>
                <c:pt idx="35">
                  <c:v>1.701105E-2</c:v>
                </c:pt>
              </c:numCache>
            </c:numRef>
          </c:val>
          <c:smooth val="0"/>
          <c:extLst>
            <c:ext xmlns:c16="http://schemas.microsoft.com/office/drawing/2014/chart" uri="{C3380CC4-5D6E-409C-BE32-E72D297353CC}">
              <c16:uniqueId val="{00000000-1E2C-1C4C-B687-5FE9B30E1917}"/>
            </c:ext>
          </c:extLst>
        </c:ser>
        <c:dLbls>
          <c:showLegendKey val="0"/>
          <c:showVal val="0"/>
          <c:showCatName val="0"/>
          <c:showSerName val="0"/>
          <c:showPercent val="0"/>
          <c:showBubbleSize val="0"/>
        </c:dLbls>
        <c:smooth val="0"/>
        <c:axId val="1487949759"/>
        <c:axId val="1502540031"/>
      </c:lineChart>
      <c:catAx>
        <c:axId val="1487949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540031"/>
        <c:crosses val="autoZero"/>
        <c:auto val="1"/>
        <c:lblAlgn val="ctr"/>
        <c:lblOffset val="100"/>
        <c:noMultiLvlLbl val="0"/>
      </c:catAx>
      <c:valAx>
        <c:axId val="1502540031"/>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4975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a:solidFill>
                  <a:schemeClr val="tx1"/>
                </a:solidFill>
              </a:rPr>
              <a:t>3mo T-Bills Monthly Returns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'Data Descriptors 1'!$AN$8</c:f>
              <c:strCache>
                <c:ptCount val="1"/>
                <c:pt idx="0">
                  <c:v>Monthly Returns</c:v>
                </c:pt>
              </c:strCache>
            </c:strRef>
          </c:tx>
          <c:spPr>
            <a:ln w="28575" cap="rnd">
              <a:solidFill>
                <a:schemeClr val="accent1"/>
              </a:solidFill>
              <a:round/>
            </a:ln>
            <a:effectLst/>
          </c:spPr>
          <c:marker>
            <c:symbol val="none"/>
          </c:marker>
          <c:cat>
            <c:numRef>
              <c:f>'Data Descriptors 1'!$AL$9:$AL$43</c:f>
              <c:numCache>
                <c:formatCode>yyyy\-mm\-dd</c:formatCode>
                <c:ptCount val="35"/>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pt idx="15">
                  <c:v>45323</c:v>
                </c:pt>
                <c:pt idx="16">
                  <c:v>45352</c:v>
                </c:pt>
                <c:pt idx="17">
                  <c:v>45383</c:v>
                </c:pt>
                <c:pt idx="18">
                  <c:v>45413</c:v>
                </c:pt>
                <c:pt idx="19">
                  <c:v>45444</c:v>
                </c:pt>
                <c:pt idx="20">
                  <c:v>45474</c:v>
                </c:pt>
                <c:pt idx="21">
                  <c:v>45505</c:v>
                </c:pt>
                <c:pt idx="22">
                  <c:v>45536</c:v>
                </c:pt>
                <c:pt idx="23">
                  <c:v>45566</c:v>
                </c:pt>
                <c:pt idx="24">
                  <c:v>45597</c:v>
                </c:pt>
                <c:pt idx="25">
                  <c:v>45627</c:v>
                </c:pt>
                <c:pt idx="26">
                  <c:v>45658</c:v>
                </c:pt>
                <c:pt idx="27">
                  <c:v>45689</c:v>
                </c:pt>
                <c:pt idx="28">
                  <c:v>45717</c:v>
                </c:pt>
                <c:pt idx="29">
                  <c:v>45748</c:v>
                </c:pt>
                <c:pt idx="30">
                  <c:v>45778</c:v>
                </c:pt>
                <c:pt idx="31">
                  <c:v>45809</c:v>
                </c:pt>
                <c:pt idx="32">
                  <c:v>45839</c:v>
                </c:pt>
                <c:pt idx="33">
                  <c:v>45870</c:v>
                </c:pt>
                <c:pt idx="34">
                  <c:v>45901</c:v>
                </c:pt>
              </c:numCache>
            </c:numRef>
          </c:cat>
          <c:val>
            <c:numRef>
              <c:f>'Data Descriptors 1'!$AN$9:$AN$43</c:f>
              <c:numCache>
                <c:formatCode>General</c:formatCode>
                <c:ptCount val="35"/>
                <c:pt idx="0">
                  <c:v>3.5306273826369861E-3</c:v>
                </c:pt>
                <c:pt idx="1">
                  <c:v>3.5626875279843873E-3</c:v>
                </c:pt>
                <c:pt idx="2">
                  <c:v>3.8267547616503972E-3</c:v>
                </c:pt>
                <c:pt idx="3">
                  <c:v>3.9066244998400279E-3</c:v>
                </c:pt>
                <c:pt idx="4">
                  <c:v>3.9624917561102979E-3</c:v>
                </c:pt>
                <c:pt idx="5">
                  <c:v>4.1298886422020953E-3</c:v>
                </c:pt>
                <c:pt idx="6">
                  <c:v>4.3208242423642407E-3</c:v>
                </c:pt>
                <c:pt idx="7">
                  <c:v>4.4082031209211614E-3</c:v>
                </c:pt>
                <c:pt idx="8">
                  <c:v>4.463764356697375E-3</c:v>
                </c:pt>
                <c:pt idx="9">
                  <c:v>4.5192918063745591E-3</c:v>
                </c:pt>
                <c:pt idx="10">
                  <c:v>4.5192918063745591E-3</c:v>
                </c:pt>
                <c:pt idx="11">
                  <c:v>4.5510066248739545E-3</c:v>
                </c:pt>
                <c:pt idx="12">
                  <c:v>4.4875659696987924E-3</c:v>
                </c:pt>
                <c:pt idx="13">
                  <c:v>4.4240812097819937E-3</c:v>
                </c:pt>
                <c:pt idx="14">
                  <c:v>4.4320192189413188E-3</c:v>
                </c:pt>
                <c:pt idx="15">
                  <c:v>4.4240812097819937E-3</c:v>
                </c:pt>
                <c:pt idx="16">
                  <c:v>4.4478931673448407E-3</c:v>
                </c:pt>
                <c:pt idx="17">
                  <c:v>4.4240812097819937E-3</c:v>
                </c:pt>
                <c:pt idx="18">
                  <c:v>4.439956538087042E-3</c:v>
                </c:pt>
                <c:pt idx="19">
                  <c:v>4.4796327880016751E-3</c:v>
                </c:pt>
                <c:pt idx="20">
                  <c:v>4.4161425104838337E-3</c:v>
                </c:pt>
                <c:pt idx="21">
                  <c:v>4.3128765598297036E-3</c:v>
                </c:pt>
                <c:pt idx="22">
                  <c:v>4.0103507726252374E-3</c:v>
                </c:pt>
                <c:pt idx="23">
                  <c:v>3.8507230235700352E-3</c:v>
                </c:pt>
                <c:pt idx="24">
                  <c:v>3.7708043235686883E-3</c:v>
                </c:pt>
                <c:pt idx="25">
                  <c:v>3.5867252456669441E-3</c:v>
                </c:pt>
                <c:pt idx="26">
                  <c:v>3.5466588636137164E-3</c:v>
                </c:pt>
                <c:pt idx="27">
                  <c:v>3.5386434752657792E-3</c:v>
                </c:pt>
                <c:pt idx="28">
                  <c:v>3.5466588636137164E-3</c:v>
                </c:pt>
                <c:pt idx="29">
                  <c:v>3.5306273826369861E-3</c:v>
                </c:pt>
                <c:pt idx="30">
                  <c:v>3.5626875279843873E-3</c:v>
                </c:pt>
                <c:pt idx="31">
                  <c:v>3.6107566318024364E-3</c:v>
                </c:pt>
                <c:pt idx="32">
                  <c:v>3.6027468730472911E-3</c:v>
                </c:pt>
                <c:pt idx="33">
                  <c:v>3.5145930840192463E-3</c:v>
                </c:pt>
                <c:pt idx="34">
                  <c:v>3.329995796502061E-3</c:v>
                </c:pt>
              </c:numCache>
            </c:numRef>
          </c:val>
          <c:smooth val="0"/>
          <c:extLst>
            <c:ext xmlns:c16="http://schemas.microsoft.com/office/drawing/2014/chart" uri="{C3380CC4-5D6E-409C-BE32-E72D297353CC}">
              <c16:uniqueId val="{00000000-67A6-1C4A-B41A-B56F0E1E7D9D}"/>
            </c:ext>
          </c:extLst>
        </c:ser>
        <c:dLbls>
          <c:showLegendKey val="0"/>
          <c:showVal val="0"/>
          <c:showCatName val="0"/>
          <c:showSerName val="0"/>
          <c:showPercent val="0"/>
          <c:showBubbleSize val="0"/>
        </c:dLbls>
        <c:smooth val="0"/>
        <c:axId val="1478043711"/>
        <c:axId val="1478039231"/>
      </c:lineChart>
      <c:dateAx>
        <c:axId val="1478043711"/>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39231"/>
        <c:crosses val="autoZero"/>
        <c:auto val="1"/>
        <c:lblOffset val="100"/>
        <c:baseTimeUnit val="months"/>
      </c:dateAx>
      <c:valAx>
        <c:axId val="147803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043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S&amp;P</a:t>
            </a:r>
            <a:r>
              <a:rPr lang="en-US" baseline="0">
                <a:solidFill>
                  <a:schemeClr val="tx1"/>
                </a:solidFill>
              </a:rPr>
              <a:t> 500 </a:t>
            </a:r>
            <a:r>
              <a:rPr lang="en-US">
                <a:solidFill>
                  <a:schemeClr val="tx1"/>
                </a:solidFill>
              </a:rPr>
              <a:t>Monthly Returns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'Data Descriptors 1'!$AU$8:$AU$9</c:f>
              <c:strCache>
                <c:ptCount val="2"/>
                <c:pt idx="0">
                  <c:v>Monthly Returns</c:v>
                </c:pt>
              </c:strCache>
            </c:strRef>
          </c:tx>
          <c:spPr>
            <a:ln w="28575" cap="rnd">
              <a:solidFill>
                <a:schemeClr val="accent1"/>
              </a:solidFill>
              <a:round/>
            </a:ln>
            <a:effectLst/>
          </c:spPr>
          <c:marker>
            <c:symbol val="none"/>
          </c:marker>
          <c:cat>
            <c:numRef>
              <c:f>'Data Descriptors 1'!$AS$10:$AS$45</c:f>
              <c:numCache>
                <c:formatCode>yyyy\-mm\-dd</c:formatCode>
                <c:ptCount val="36"/>
                <c:pt idx="0">
                  <c:v>44866</c:v>
                </c:pt>
                <c:pt idx="1">
                  <c:v>44896</c:v>
                </c:pt>
                <c:pt idx="2">
                  <c:v>44927</c:v>
                </c:pt>
                <c:pt idx="3">
                  <c:v>44958</c:v>
                </c:pt>
                <c:pt idx="4">
                  <c:v>44986</c:v>
                </c:pt>
                <c:pt idx="5">
                  <c:v>45017</c:v>
                </c:pt>
                <c:pt idx="6">
                  <c:v>45047</c:v>
                </c:pt>
                <c:pt idx="7">
                  <c:v>45078</c:v>
                </c:pt>
                <c:pt idx="8">
                  <c:v>45108</c:v>
                </c:pt>
                <c:pt idx="9">
                  <c:v>45139</c:v>
                </c:pt>
                <c:pt idx="10">
                  <c:v>45170</c:v>
                </c:pt>
                <c:pt idx="11">
                  <c:v>45200</c:v>
                </c:pt>
                <c:pt idx="12">
                  <c:v>45231</c:v>
                </c:pt>
                <c:pt idx="13">
                  <c:v>45261</c:v>
                </c:pt>
                <c:pt idx="14">
                  <c:v>45292</c:v>
                </c:pt>
                <c:pt idx="15">
                  <c:v>45323</c:v>
                </c:pt>
                <c:pt idx="16">
                  <c:v>45352</c:v>
                </c:pt>
                <c:pt idx="17">
                  <c:v>45383</c:v>
                </c:pt>
                <c:pt idx="18">
                  <c:v>45413</c:v>
                </c:pt>
                <c:pt idx="19">
                  <c:v>45444</c:v>
                </c:pt>
                <c:pt idx="20">
                  <c:v>45474</c:v>
                </c:pt>
                <c:pt idx="21">
                  <c:v>45505</c:v>
                </c:pt>
                <c:pt idx="22">
                  <c:v>45536</c:v>
                </c:pt>
                <c:pt idx="23">
                  <c:v>45566</c:v>
                </c:pt>
                <c:pt idx="24">
                  <c:v>45597</c:v>
                </c:pt>
                <c:pt idx="25">
                  <c:v>45627</c:v>
                </c:pt>
                <c:pt idx="26">
                  <c:v>45658</c:v>
                </c:pt>
                <c:pt idx="27">
                  <c:v>45689</c:v>
                </c:pt>
                <c:pt idx="28">
                  <c:v>45717</c:v>
                </c:pt>
                <c:pt idx="29">
                  <c:v>45748</c:v>
                </c:pt>
                <c:pt idx="30">
                  <c:v>45778</c:v>
                </c:pt>
                <c:pt idx="31">
                  <c:v>45809</c:v>
                </c:pt>
                <c:pt idx="32">
                  <c:v>45839</c:v>
                </c:pt>
                <c:pt idx="33">
                  <c:v>45870</c:v>
                </c:pt>
                <c:pt idx="34">
                  <c:v>45901</c:v>
                </c:pt>
                <c:pt idx="35">
                  <c:v>45931</c:v>
                </c:pt>
              </c:numCache>
            </c:numRef>
          </c:cat>
          <c:val>
            <c:numRef>
              <c:f>'Data Descriptors 1'!$AU$10:$AU$45</c:f>
              <c:numCache>
                <c:formatCode>General</c:formatCode>
                <c:ptCount val="36"/>
                <c:pt idx="0">
                  <c:v>5.1378805974154826E-2</c:v>
                </c:pt>
                <c:pt idx="1">
                  <c:v>-1.3044066481343087E-3</c:v>
                </c:pt>
                <c:pt idx="2">
                  <c:v>1.2340314591118385E-2</c:v>
                </c:pt>
                <c:pt idx="3">
                  <c:v>3.0050547131033712E-2</c:v>
                </c:pt>
                <c:pt idx="4">
                  <c:v>-2.723743038669697E-2</c:v>
                </c:pt>
                <c:pt idx="5">
                  <c:v>3.8530348539520712E-2</c:v>
                </c:pt>
                <c:pt idx="6">
                  <c:v>5.9930073493194942E-3</c:v>
                </c:pt>
                <c:pt idx="7">
                  <c:v>4.8044339715930563E-2</c:v>
                </c:pt>
                <c:pt idx="8">
                  <c:v>3.7444452371144465E-2</c:v>
                </c:pt>
                <c:pt idx="9">
                  <c:v>-1.1250909478092725E-2</c:v>
                </c:pt>
                <c:pt idx="10">
                  <c:v>-1.0827036631548565E-2</c:v>
                </c:pt>
                <c:pt idx="11">
                  <c:v>-3.168447075366871E-2</c:v>
                </c:pt>
                <c:pt idx="12">
                  <c:v>4.4657328898674471E-2</c:v>
                </c:pt>
                <c:pt idx="13">
                  <c:v>5.0445509701663151E-2</c:v>
                </c:pt>
                <c:pt idx="14">
                  <c:v>2.5493858123178961E-2</c:v>
                </c:pt>
                <c:pt idx="15">
                  <c:v>4.3182523014929843E-2</c:v>
                </c:pt>
                <c:pt idx="16">
                  <c:v>3.1646302045507078E-2</c:v>
                </c:pt>
                <c:pt idx="17">
                  <c:v>-1.123280412024205E-2</c:v>
                </c:pt>
                <c:pt idx="18">
                  <c:v>2.4007870920040877E-2</c:v>
                </c:pt>
                <c:pt idx="19">
                  <c:v>3.4365252338483844E-2</c:v>
                </c:pt>
                <c:pt idx="20">
                  <c:v>2.2688240747238238E-2</c:v>
                </c:pt>
                <c:pt idx="21">
                  <c:v>-1.0796316359696636E-2</c:v>
                </c:pt>
                <c:pt idx="22">
                  <c:v>2.6112544060925044E-2</c:v>
                </c:pt>
                <c:pt idx="23">
                  <c:v>3.043089983384499E-2</c:v>
                </c:pt>
                <c:pt idx="24">
                  <c:v>2.3755593613612572E-2</c:v>
                </c:pt>
                <c:pt idx="25">
                  <c:v>1.3657857104311657E-2</c:v>
                </c:pt>
                <c:pt idx="26">
                  <c:v>-5.2221710190302993E-3</c:v>
                </c:pt>
                <c:pt idx="27">
                  <c:v>9.8954431124904946E-3</c:v>
                </c:pt>
                <c:pt idx="28">
                  <c:v>-5.8739561063740654E-2</c:v>
                </c:pt>
                <c:pt idx="29">
                  <c:v>-5.5327429019806473E-2</c:v>
                </c:pt>
                <c:pt idx="30">
                  <c:v>8.2208771766458716E-2</c:v>
                </c:pt>
                <c:pt idx="31">
                  <c:v>3.7692826609211576E-2</c:v>
                </c:pt>
                <c:pt idx="32">
                  <c:v>4.4204346636373466E-2</c:v>
                </c:pt>
                <c:pt idx="33">
                  <c:v>1.7859128087032449E-2</c:v>
                </c:pt>
                <c:pt idx="34">
                  <c:v>2.7316487100071091E-2</c:v>
                </c:pt>
                <c:pt idx="35">
                  <c:v>1.7630566128292429E-2</c:v>
                </c:pt>
              </c:numCache>
            </c:numRef>
          </c:val>
          <c:smooth val="0"/>
          <c:extLst>
            <c:ext xmlns:c16="http://schemas.microsoft.com/office/drawing/2014/chart" uri="{C3380CC4-5D6E-409C-BE32-E72D297353CC}">
              <c16:uniqueId val="{00000000-A972-4F4A-90E1-317CA03D8423}"/>
            </c:ext>
          </c:extLst>
        </c:ser>
        <c:dLbls>
          <c:showLegendKey val="0"/>
          <c:showVal val="0"/>
          <c:showCatName val="0"/>
          <c:showSerName val="0"/>
          <c:showPercent val="0"/>
          <c:showBubbleSize val="0"/>
        </c:dLbls>
        <c:smooth val="0"/>
        <c:axId val="1502006783"/>
        <c:axId val="1502010367"/>
      </c:lineChart>
      <c:dateAx>
        <c:axId val="1502006783"/>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010367"/>
        <c:crosses val="autoZero"/>
        <c:auto val="1"/>
        <c:lblOffset val="100"/>
        <c:baseTimeUnit val="months"/>
      </c:dateAx>
      <c:valAx>
        <c:axId val="1502010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0067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12</xdr:col>
      <xdr:colOff>609600</xdr:colOff>
      <xdr:row>44</xdr:row>
      <xdr:rowOff>105833</xdr:rowOff>
    </xdr:to>
    <xdr:sp macro="" textlink="">
      <xdr:nvSpPr>
        <xdr:cNvPr id="2" name="TextBox 1">
          <a:extLst>
            <a:ext uri="{FF2B5EF4-FFF2-40B4-BE49-F238E27FC236}">
              <a16:creationId xmlns:a16="http://schemas.microsoft.com/office/drawing/2014/main" id="{284A7D26-89F7-CD4F-AC0A-40980F05C854}"/>
            </a:ext>
          </a:extLst>
        </xdr:cNvPr>
        <xdr:cNvSpPr txBox="1"/>
      </xdr:nvSpPr>
      <xdr:spPr>
        <a:xfrm>
          <a:off x="827424" y="404091"/>
          <a:ext cx="9711267" cy="85917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Summary Report</a:t>
          </a:r>
          <a:endParaRPr lang="en-US" sz="1100" b="1">
            <a:latin typeface="Arial" panose="020B0604020202020204" pitchFamily="34" charset="0"/>
            <a:cs typeface="Arial" panose="020B0604020202020204" pitchFamily="34" charset="0"/>
          </a:endParaRPr>
        </a:p>
        <a:p>
          <a:endParaRPr lang="en-US" sz="1100" b="1">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latin typeface="Arial" panose="020B0604020202020204" pitchFamily="34" charset="0"/>
              <a:cs typeface="Arial" panose="020B0604020202020204" pitchFamily="34" charset="0"/>
            </a:rPr>
            <a:t>Key</a:t>
          </a:r>
          <a:r>
            <a:rPr lang="en-US" sz="1100" b="1" baseline="0">
              <a:latin typeface="Arial" panose="020B0604020202020204" pitchFamily="34" charset="0"/>
              <a:cs typeface="Arial" panose="020B0604020202020204" pitchFamily="34" charset="0"/>
            </a:rPr>
            <a:t> findings in this report</a:t>
          </a:r>
        </a:p>
        <a:p>
          <a:r>
            <a:rPr lang="en-US" sz="1100" b="0">
              <a:latin typeface="Arial" panose="020B0604020202020204" pitchFamily="34" charset="0"/>
              <a:cs typeface="Arial" panose="020B0604020202020204" pitchFamily="34" charset="0"/>
            </a:rPr>
            <a:t>1). Statistical</a:t>
          </a:r>
          <a:r>
            <a:rPr lang="en-US" sz="1100" b="0" baseline="0">
              <a:latin typeface="Arial" panose="020B0604020202020204" pitchFamily="34" charset="0"/>
              <a:cs typeface="Arial" panose="020B0604020202020204" pitchFamily="34" charset="0"/>
            </a:rPr>
            <a:t> summary of portfolio, market, and risk free rates. </a:t>
          </a:r>
        </a:p>
        <a:p>
          <a:r>
            <a:rPr lang="en-US" sz="1100" b="0" baseline="0">
              <a:latin typeface="Arial" panose="020B0604020202020204" pitchFamily="34" charset="0"/>
              <a:cs typeface="Arial" panose="020B0604020202020204" pitchFamily="34" charset="0"/>
            </a:rPr>
            <a:t>2). Visual representations of key findings with normal distribution. </a:t>
          </a:r>
        </a:p>
        <a:p>
          <a:r>
            <a:rPr lang="en-US" sz="1100" b="0" baseline="0">
              <a:latin typeface="Arial" panose="020B0604020202020204" pitchFamily="34" charset="0"/>
              <a:cs typeface="Arial" panose="020B0604020202020204" pitchFamily="34" charset="0"/>
            </a:rPr>
            <a:t>3). Financial ratios such as beta, Sharpe and Jensen's alpha tell its reader that this portfolio is doing slightly better than the market. </a:t>
          </a:r>
        </a:p>
        <a:p>
          <a:endParaRPr lang="en-US" sz="1100" b="0" baseline="0">
            <a:latin typeface="Arial" panose="020B0604020202020204" pitchFamily="34" charset="0"/>
            <a:cs typeface="Arial" panose="020B0604020202020204" pitchFamily="34" charset="0"/>
          </a:endParaRPr>
        </a:p>
        <a:p>
          <a:endParaRPr lang="en-US" sz="1100" b="0" baseline="0">
            <a:latin typeface="Arial" panose="020B0604020202020204" pitchFamily="34" charset="0"/>
            <a:cs typeface="Arial" panose="020B0604020202020204" pitchFamily="34" charset="0"/>
          </a:endParaRPr>
        </a:p>
        <a:p>
          <a:r>
            <a:rPr lang="en-US" sz="1100" b="1" baseline="0">
              <a:latin typeface="Arial" panose="020B0604020202020204" pitchFamily="34" charset="0"/>
              <a:cs typeface="Arial" panose="020B0604020202020204" pitchFamily="34" charset="0"/>
            </a:rPr>
            <a:t>Interpretation of RothIRA portfolio</a:t>
          </a:r>
        </a:p>
        <a:p>
          <a:r>
            <a:rPr lang="en-US" sz="1100" b="0" baseline="0">
              <a:latin typeface="Arial" panose="020B0604020202020204" pitchFamily="34" charset="0"/>
              <a:cs typeface="Arial" panose="020B0604020202020204" pitchFamily="34" charset="0"/>
            </a:rPr>
            <a:t>Holdings		Allocation</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AAPL 		18.18%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COST 		</a:t>
          </a:r>
          <a:r>
            <a:rPr lang="en-US" sz="1100" b="0" i="0" u="none" strike="noStrike">
              <a:solidFill>
                <a:schemeClr val="dk1"/>
              </a:solidFill>
              <a:effectLst/>
              <a:latin typeface="Arial" panose="020B0604020202020204" pitchFamily="34" charset="0"/>
              <a:ea typeface="+mn-ea"/>
              <a:cs typeface="Arial" panose="020B0604020202020204" pitchFamily="34" charset="0"/>
            </a:rPr>
            <a:t>18.18%</a:t>
          </a:r>
          <a:r>
            <a:rPr lang="en-US">
              <a:effectLst/>
              <a:latin typeface="Arial" panose="020B0604020202020204" pitchFamily="34" charset="0"/>
              <a:cs typeface="Arial" panose="020B0604020202020204" pitchFamily="34" charset="0"/>
            </a:rPr>
            <a:t> </a:t>
          </a:r>
          <a:endParaRPr lang="en-US" sz="1100" b="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DIA 		</a:t>
          </a:r>
          <a:r>
            <a:rPr lang="en-US" sz="1100" b="0" i="0" u="none" strike="noStrike">
              <a:solidFill>
                <a:schemeClr val="dk1"/>
              </a:solidFill>
              <a:effectLst/>
              <a:latin typeface="Arial" panose="020B0604020202020204" pitchFamily="34" charset="0"/>
              <a:ea typeface="+mn-ea"/>
              <a:cs typeface="Arial" panose="020B0604020202020204" pitchFamily="34" charset="0"/>
            </a:rPr>
            <a:t>9.09%</a:t>
          </a:r>
          <a:r>
            <a:rPr lang="en-US">
              <a:effectLst/>
              <a:latin typeface="Arial" panose="020B0604020202020204" pitchFamily="34" charset="0"/>
              <a:cs typeface="Arial" panose="020B0604020202020204" pitchFamily="34" charset="0"/>
            </a:rPr>
            <a:t> </a:t>
          </a:r>
          <a:endParaRPr lang="en-US" sz="1100" b="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DJT 		</a:t>
          </a:r>
          <a:r>
            <a:rPr lang="en-US" sz="1100" b="0" i="0" u="none" strike="noStrike">
              <a:solidFill>
                <a:schemeClr val="dk1"/>
              </a:solidFill>
              <a:effectLst/>
              <a:latin typeface="Arial" panose="020B0604020202020204" pitchFamily="34" charset="0"/>
              <a:ea typeface="+mn-ea"/>
              <a:cs typeface="Arial" panose="020B0604020202020204" pitchFamily="34" charset="0"/>
            </a:rPr>
            <a:t>9.09%</a:t>
          </a:r>
          <a:r>
            <a:rPr lang="en-US">
              <a:effectLst/>
              <a:latin typeface="Arial" panose="020B0604020202020204" pitchFamily="34" charset="0"/>
              <a:cs typeface="Arial" panose="020B0604020202020204" pitchFamily="34" charset="0"/>
            </a:rPr>
            <a:t> </a:t>
          </a:r>
          <a:endParaRPr lang="en-US" sz="1100" b="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GEHC 		</a:t>
          </a:r>
          <a:r>
            <a:rPr lang="en-US" sz="1100" b="0" i="0" u="none" strike="noStrike">
              <a:solidFill>
                <a:schemeClr val="dk1"/>
              </a:solidFill>
              <a:effectLst/>
              <a:latin typeface="Arial" panose="020B0604020202020204" pitchFamily="34" charset="0"/>
              <a:ea typeface="+mn-ea"/>
              <a:cs typeface="Arial" panose="020B0604020202020204" pitchFamily="34" charset="0"/>
            </a:rPr>
            <a:t>18.18%</a:t>
          </a:r>
          <a:r>
            <a:rPr lang="en-US">
              <a:effectLst/>
              <a:latin typeface="Arial" panose="020B0604020202020204" pitchFamily="34" charset="0"/>
              <a:cs typeface="Arial" panose="020B0604020202020204" pitchFamily="34" charset="0"/>
            </a:rPr>
            <a:t> </a:t>
          </a:r>
          <a:endParaRPr lang="en-US" sz="1100" b="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ONEQ 		</a:t>
          </a:r>
          <a:r>
            <a:rPr lang="en-US" sz="1100" b="0" i="0" u="none" strike="noStrike">
              <a:solidFill>
                <a:schemeClr val="dk1"/>
              </a:solidFill>
              <a:effectLst/>
              <a:latin typeface="Arial" panose="020B0604020202020204" pitchFamily="34" charset="0"/>
              <a:ea typeface="+mn-ea"/>
              <a:cs typeface="Arial" panose="020B0604020202020204" pitchFamily="34" charset="0"/>
            </a:rPr>
            <a:t>18.18%</a:t>
          </a:r>
          <a:r>
            <a:rPr lang="en-US">
              <a:effectLst/>
              <a:latin typeface="Arial" panose="020B0604020202020204" pitchFamily="34" charset="0"/>
              <a:cs typeface="Arial" panose="020B0604020202020204" pitchFamily="34" charset="0"/>
            </a:rPr>
            <a:t> </a:t>
          </a:r>
          <a:endParaRPr lang="en-US" sz="1100" b="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RDNT 		</a:t>
          </a:r>
          <a:r>
            <a:rPr lang="en-US" sz="1100" b="0" i="0" u="none" strike="noStrike">
              <a:solidFill>
                <a:schemeClr val="dk1"/>
              </a:solidFill>
              <a:effectLst/>
              <a:latin typeface="Arial" panose="020B0604020202020204" pitchFamily="34" charset="0"/>
              <a:ea typeface="+mn-ea"/>
              <a:cs typeface="Arial" panose="020B0604020202020204" pitchFamily="34" charset="0"/>
            </a:rPr>
            <a:t>9.09%</a:t>
          </a:r>
          <a:r>
            <a:rPr lang="en-US">
              <a:effectLst/>
              <a:latin typeface="Arial" panose="020B0604020202020204" pitchFamily="34" charset="0"/>
              <a:cs typeface="Arial" panose="020B0604020202020204" pitchFamily="34" charset="0"/>
            </a:rPr>
            <a:t> </a:t>
          </a:r>
          <a:endParaRPr lang="en-US" sz="1100" b="0" baseline="0">
            <a:latin typeface="Arial" panose="020B0604020202020204" pitchFamily="34" charset="0"/>
            <a:cs typeface="Arial" panose="020B0604020202020204" pitchFamily="34" charset="0"/>
          </a:endParaRPr>
        </a:p>
        <a:p>
          <a:endParaRPr lang="en-US" sz="1100" b="0" baseline="0">
            <a:latin typeface="Arial" panose="020B0604020202020204" pitchFamily="34" charset="0"/>
            <a:cs typeface="Arial" panose="020B0604020202020204" pitchFamily="34" charset="0"/>
          </a:endParaRPr>
        </a:p>
        <a:p>
          <a:endParaRPr lang="en-US" sz="1100" b="0" baseline="0">
            <a:latin typeface="Arial" panose="020B0604020202020204" pitchFamily="34" charset="0"/>
            <a:cs typeface="Arial" panose="020B0604020202020204" pitchFamily="34" charset="0"/>
          </a:endParaRPr>
        </a:p>
        <a:p>
          <a:r>
            <a:rPr lang="en-US" sz="1100" b="1" baseline="0">
              <a:latin typeface="Arial" panose="020B0604020202020204" pitchFamily="34" charset="0"/>
              <a:cs typeface="Arial" panose="020B0604020202020204" pitchFamily="34" charset="0"/>
            </a:rPr>
            <a:t>Interpretation of statistical summary</a:t>
          </a:r>
        </a:p>
        <a:p>
          <a:r>
            <a:rPr lang="en-US" sz="1100" b="0">
              <a:latin typeface="Arial" panose="020B0604020202020204" pitchFamily="34" charset="0"/>
              <a:cs typeface="Arial" panose="020B0604020202020204" pitchFamily="34" charset="0"/>
            </a:rPr>
            <a:t>If the</a:t>
          </a:r>
          <a:r>
            <a:rPr lang="en-US" sz="1100" b="0" baseline="0">
              <a:latin typeface="Arial" panose="020B0604020202020204" pitchFamily="34" charset="0"/>
              <a:cs typeface="Arial" panose="020B0604020202020204" pitchFamily="34" charset="0"/>
            </a:rPr>
            <a:t> sampling procedure is to be repeated many times, about 95% of the confidence interval would show the average annual returns of this porftfolio falls within $231.70 - $1,273.00. </a:t>
          </a:r>
        </a:p>
        <a:p>
          <a:r>
            <a:rPr lang="en-US" sz="1100" b="0">
              <a:latin typeface="Arial" panose="020B0604020202020204" pitchFamily="34" charset="0"/>
              <a:cs typeface="Arial" panose="020B0604020202020204" pitchFamily="34" charset="0"/>
            </a:rPr>
            <a:t>There</a:t>
          </a:r>
          <a:r>
            <a:rPr lang="en-US" sz="1100" b="0" baseline="0">
              <a:latin typeface="Arial" panose="020B0604020202020204" pitchFamily="34" charset="0"/>
              <a:cs typeface="Arial" panose="020B0604020202020204" pitchFamily="34" charset="0"/>
            </a:rPr>
            <a:t> is</a:t>
          </a:r>
          <a:r>
            <a:rPr lang="en-US" sz="1100" b="0">
              <a:latin typeface="Arial" panose="020B0604020202020204" pitchFamily="34" charset="0"/>
              <a:cs typeface="Arial" panose="020B0604020202020204" pitchFamily="34" charset="0"/>
            </a:rPr>
            <a:t> a 5% chance this portfolio would lose at least </a:t>
          </a:r>
          <a:r>
            <a:rPr lang="en-US" sz="1100" b="0" baseline="0">
              <a:latin typeface="Arial" panose="020B0604020202020204" pitchFamily="34" charset="0"/>
              <a:cs typeface="Arial" panose="020B0604020202020204" pitchFamily="34" charset="0"/>
            </a:rPr>
            <a:t>$403.79 </a:t>
          </a:r>
          <a:r>
            <a:rPr lang="en-US" sz="1100" b="0">
              <a:latin typeface="Arial" panose="020B0604020202020204" pitchFamily="34" charset="0"/>
              <a:cs typeface="Arial" panose="020B0604020202020204" pitchFamily="34" charset="0"/>
            </a:rPr>
            <a:t>over one month, based on the last 35 months of returns.</a:t>
          </a:r>
        </a:p>
        <a:p>
          <a:endParaRPr lang="en-US" sz="1100" b="0">
            <a:latin typeface="Arial" panose="020B0604020202020204" pitchFamily="34" charset="0"/>
            <a:cs typeface="Arial" panose="020B0604020202020204" pitchFamily="34" charset="0"/>
          </a:endParaRPr>
        </a:p>
        <a:p>
          <a:r>
            <a:rPr lang="en-US" sz="1100" b="1" baseline="0">
              <a:latin typeface="Arial" panose="020B0604020202020204" pitchFamily="34" charset="0"/>
              <a:cs typeface="Arial" panose="020B0604020202020204" pitchFamily="34" charset="0"/>
            </a:rPr>
            <a:t>Interpretation of the financial ratios</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A). Beta =&gt; </a:t>
          </a:r>
          <a:r>
            <a:rPr lang="en-US" sz="1100" b="0" i="0" u="none" strike="noStrike">
              <a:solidFill>
                <a:schemeClr val="dk1"/>
              </a:solidFill>
              <a:effectLst/>
              <a:latin typeface="Arial" panose="020B0604020202020204" pitchFamily="34" charset="0"/>
              <a:ea typeface="+mn-ea"/>
              <a:cs typeface="Arial" panose="020B0604020202020204" pitchFamily="34" charset="0"/>
            </a:rPr>
            <a:t>Measures how the</a:t>
          </a:r>
          <a:r>
            <a:rPr lang="en-US" sz="1100" b="0" i="0" u="none" strike="noStrike" baseline="0">
              <a:solidFill>
                <a:schemeClr val="dk1"/>
              </a:solidFill>
              <a:effectLst/>
              <a:latin typeface="Arial" panose="020B0604020202020204" pitchFamily="34" charset="0"/>
              <a:ea typeface="+mn-ea"/>
              <a:cs typeface="Arial" panose="020B0604020202020204" pitchFamily="34" charset="0"/>
            </a:rPr>
            <a:t> asset</a:t>
          </a:r>
          <a:r>
            <a:rPr lang="en-US" sz="1100" b="0" i="0" u="none" strike="noStrike">
              <a:solidFill>
                <a:schemeClr val="dk1"/>
              </a:solidFill>
              <a:effectLst/>
              <a:latin typeface="Arial" panose="020B0604020202020204" pitchFamily="34" charset="0"/>
              <a:ea typeface="+mn-ea"/>
              <a:cs typeface="Arial" panose="020B0604020202020204" pitchFamily="34" charset="0"/>
            </a:rPr>
            <a:t> relates to the stock market. </a:t>
          </a:r>
          <a:r>
            <a:rPr lang="en-US">
              <a:effectLst/>
              <a:latin typeface="Arial" panose="020B0604020202020204" pitchFamily="34" charset="0"/>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Arial" panose="020B0604020202020204" pitchFamily="34" charset="0"/>
              <a:ea typeface="+mn-ea"/>
              <a:cs typeface="Arial" panose="020B0604020202020204" pitchFamily="34" charset="0"/>
            </a:rPr>
            <a:t>* If </a:t>
          </a:r>
          <a:r>
            <a:rPr lang="el-GR" sz="1100" b="0" i="0" u="none" strike="noStrike">
              <a:solidFill>
                <a:schemeClr val="dk1"/>
              </a:solidFill>
              <a:effectLst/>
              <a:latin typeface="Arial" panose="020B0604020202020204" pitchFamily="34" charset="0"/>
              <a:ea typeface="+mn-ea"/>
              <a:cs typeface="Arial" panose="020B0604020202020204" pitchFamily="34" charset="0"/>
            </a:rPr>
            <a:t>β = 1, </a:t>
          </a:r>
          <a:r>
            <a:rPr lang="en-US" sz="1100" b="0" i="0" u="none" strike="noStrike">
              <a:solidFill>
                <a:schemeClr val="dk1"/>
              </a:solidFill>
              <a:effectLst/>
              <a:latin typeface="Arial" panose="020B0604020202020204" pitchFamily="34" charset="0"/>
              <a:ea typeface="+mn-ea"/>
              <a:cs typeface="Arial" panose="020B0604020202020204" pitchFamily="34" charset="0"/>
            </a:rPr>
            <a:t>then the asset tends to go up and down 1 : 1 in terms of returns with the aggregate market. </a:t>
          </a:r>
          <a:r>
            <a:rPr lang="en-US">
              <a:effectLst/>
              <a:latin typeface="Arial" panose="020B0604020202020204" pitchFamily="34" charset="0"/>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Arial" panose="020B0604020202020204" pitchFamily="34" charset="0"/>
              <a:ea typeface="+mn-ea"/>
              <a:cs typeface="Arial" panose="020B0604020202020204" pitchFamily="34" charset="0"/>
            </a:rPr>
            <a:t>* If </a:t>
          </a:r>
          <a:r>
            <a:rPr lang="el-GR" sz="1100" b="0" i="0" u="none" strike="noStrike">
              <a:solidFill>
                <a:schemeClr val="dk1"/>
              </a:solidFill>
              <a:effectLst/>
              <a:latin typeface="Arial" panose="020B0604020202020204" pitchFamily="34" charset="0"/>
              <a:ea typeface="+mn-ea"/>
              <a:cs typeface="Arial" panose="020B0604020202020204" pitchFamily="34" charset="0"/>
            </a:rPr>
            <a:t>β = 2, (</a:t>
          </a:r>
          <a:r>
            <a:rPr lang="en-US" sz="1100" b="0" i="0" u="none" strike="noStrike">
              <a:solidFill>
                <a:schemeClr val="dk1"/>
              </a:solidFill>
              <a:effectLst/>
              <a:latin typeface="Arial" panose="020B0604020202020204" pitchFamily="34" charset="0"/>
              <a:ea typeface="+mn-ea"/>
              <a:cs typeface="Arial" panose="020B0604020202020204" pitchFamily="34" charset="0"/>
            </a:rPr>
            <a:t>rare for a stock). </a:t>
          </a:r>
          <a:r>
            <a:rPr lang="en-US">
              <a:effectLst/>
              <a:latin typeface="Arial" panose="020B0604020202020204" pitchFamily="34" charset="0"/>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Arial" panose="020B0604020202020204" pitchFamily="34" charset="0"/>
              <a:ea typeface="+mn-ea"/>
              <a:cs typeface="Arial" panose="020B0604020202020204" pitchFamily="34" charset="0"/>
            </a:rPr>
            <a:t>* Negative Beta of a stock is the inverse relationship to the stock market. </a:t>
          </a:r>
          <a:r>
            <a:rPr lang="en-US">
              <a:effectLst/>
              <a:latin typeface="Arial" panose="020B0604020202020204" pitchFamily="34" charset="0"/>
              <a:cs typeface="Arial" panose="020B0604020202020204" pitchFamily="34" charset="0"/>
            </a:rPr>
            <a:t> </a:t>
          </a:r>
        </a:p>
        <a:p>
          <a:endParaRPr lang="en-US" sz="1100" b="0" baseline="0">
            <a:latin typeface="Arial" panose="020B0604020202020204" pitchFamily="34" charset="0"/>
            <a:cs typeface="Arial" panose="020B0604020202020204" pitchFamily="34" charset="0"/>
          </a:endParaRPr>
        </a:p>
        <a:p>
          <a:r>
            <a:rPr lang="en-US" sz="1100" b="0" baseline="0">
              <a:latin typeface="Arial" panose="020B0604020202020204" pitchFamily="34" charset="0"/>
              <a:cs typeface="Arial" panose="020B0604020202020204" pitchFamily="34" charset="0"/>
            </a:rPr>
            <a:t>This portfolito has beta of 0.33 indexing against the S&amp;P500 and beta of 0.49 indexing against the Dow Jones Industrial Average. This means its returns are less affected by market volatility, but it tends to move better with the Dow Jones than the S&amp;P500. </a:t>
          </a:r>
        </a:p>
        <a:p>
          <a:endParaRPr lang="en-US" sz="1100" b="0" baseline="0">
            <a:latin typeface="Arial" panose="020B0604020202020204" pitchFamily="34" charset="0"/>
            <a:cs typeface="Arial" panose="020B0604020202020204" pitchFamily="34" charset="0"/>
          </a:endParaRPr>
        </a:p>
        <a:p>
          <a:r>
            <a:rPr lang="en-US" sz="1100" b="0" baseline="0">
              <a:latin typeface="Arial" panose="020B0604020202020204" pitchFamily="34" charset="0"/>
              <a:cs typeface="Arial" panose="020B0604020202020204" pitchFamily="34" charset="0"/>
            </a:rPr>
            <a:t>B). Sharpe ratio =&gt; A measure of an investment's risk-adjusted performance, calculated by comparing its returns to that of a risk-free asset.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 The higher the Sharpe ratio the higher the reward / unit of volatility.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baseline="0">
            <a:latin typeface="Arial" panose="020B0604020202020204" pitchFamily="34" charset="0"/>
            <a:cs typeface="Arial" panose="020B0604020202020204" pitchFamily="34" charset="0"/>
          </a:endParaRPr>
        </a:p>
        <a:p>
          <a:r>
            <a:rPr lang="en-US" sz="1100" b="0" baseline="0">
              <a:latin typeface="Arial" panose="020B0604020202020204" pitchFamily="34" charset="0"/>
              <a:cs typeface="Arial" panose="020B0604020202020204" pitchFamily="34" charset="0"/>
            </a:rPr>
            <a:t>Portfolio's annual sharpe ratio with S&amp;P500 index is 0.15. </a:t>
          </a:r>
        </a:p>
        <a:p>
          <a:r>
            <a:rPr lang="en-US" sz="1100" b="0" baseline="0">
              <a:latin typeface="Arial" panose="020B0604020202020204" pitchFamily="34" charset="0"/>
              <a:cs typeface="Arial" panose="020B0604020202020204" pitchFamily="34" charset="0"/>
            </a:rPr>
            <a:t>With Down Jones indes is 0.22.  </a:t>
          </a:r>
          <a:endParaRPr lang="en-US" sz="1100" b="0">
            <a:latin typeface="Arial" panose="020B0604020202020204" pitchFamily="34" charset="0"/>
            <a:cs typeface="Arial" panose="020B0604020202020204" pitchFamily="34" charset="0"/>
          </a:endParaRPr>
        </a:p>
        <a:p>
          <a:r>
            <a:rPr lang="en-US" sz="1100" b="0">
              <a:latin typeface="Arial" panose="020B0604020202020204" pitchFamily="34" charset="0"/>
              <a:cs typeface="Arial" panose="020B0604020202020204" pitchFamily="34" charset="0"/>
            </a:rPr>
            <a:t>This means that this portfolio</a:t>
          </a:r>
          <a:r>
            <a:rPr lang="en-US" sz="1100" b="0" baseline="0">
              <a:latin typeface="Arial" panose="020B0604020202020204" pitchFamily="34" charset="0"/>
              <a:cs typeface="Arial" panose="020B0604020202020204" pitchFamily="34" charset="0"/>
            </a:rPr>
            <a:t> has low risk however it also has lower rewards. </a:t>
          </a:r>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latin typeface="Arial" panose="020B0604020202020204" pitchFamily="34" charset="0"/>
              <a:cs typeface="Arial" panose="020B0604020202020204" pitchFamily="34" charset="0"/>
            </a:rPr>
            <a:t>C). Jensen's alpha</a:t>
          </a:r>
          <a:r>
            <a:rPr lang="en-US" sz="1100" b="0" baseline="0">
              <a:latin typeface="Arial" panose="020B0604020202020204" pitchFamily="34" charset="0"/>
              <a:cs typeface="Arial" panose="020B0604020202020204" pitchFamily="34" charset="0"/>
            </a:rPr>
            <a:t> =&gt; A risk-adjusted measure of a portfolio or investment's return compared to the overall market. It is computed as the raw portfolio return minus the expected portfolio return predicted by the CAPM.</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 Alpha &gt; 0 means the asset outperforms the market or benchmark.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 Alpha = 0 means it is neutral in that it is performing consistently with the market or benchmark.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 Alpha &lt; 0 means the security is underperforming the market.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This portfolio has a monthly alpha of 0.0160 against the S&amp;P500 making it slightly better than the market. When comparing it to the Dow Jones, it has 0.0150 making it also slightly better than the market.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baseline="0">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latin typeface="Arial" panose="020B0604020202020204" pitchFamily="34" charset="0"/>
              <a:cs typeface="Arial" panose="020B0604020202020204" pitchFamily="34" charset="0"/>
            </a:rPr>
            <a:t>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50800</xdr:colOff>
      <xdr:row>0</xdr:row>
      <xdr:rowOff>76200</xdr:rowOff>
    </xdr:from>
    <xdr:to>
      <xdr:col>12</xdr:col>
      <xdr:colOff>613833</xdr:colOff>
      <xdr:row>4</xdr:row>
      <xdr:rowOff>111125</xdr:rowOff>
    </xdr:to>
    <xdr:sp macro="" textlink="">
      <xdr:nvSpPr>
        <xdr:cNvPr id="2" name="TextBox 1">
          <a:extLst>
            <a:ext uri="{FF2B5EF4-FFF2-40B4-BE49-F238E27FC236}">
              <a16:creationId xmlns:a16="http://schemas.microsoft.com/office/drawing/2014/main" id="{9B9F1DDC-DE8D-5A4B-B554-21ACEF252F0B}"/>
            </a:ext>
          </a:extLst>
        </xdr:cNvPr>
        <xdr:cNvSpPr txBox="1"/>
      </xdr:nvSpPr>
      <xdr:spPr>
        <a:xfrm>
          <a:off x="1394883" y="76200"/>
          <a:ext cx="10585450" cy="8392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Data Descriptors</a:t>
          </a:r>
          <a:endParaRPr lang="en-US" sz="1100" b="1">
            <a:latin typeface="Arial" panose="020B0604020202020204" pitchFamily="34" charset="0"/>
            <a:cs typeface="Arial" panose="020B0604020202020204" pitchFamily="34" charset="0"/>
          </a:endParaRPr>
        </a:p>
        <a:p>
          <a:endParaRPr lang="en-US" sz="1100" b="1">
            <a:latin typeface="Arial" panose="020B0604020202020204" pitchFamily="34" charset="0"/>
            <a:cs typeface="Arial" panose="020B0604020202020204" pitchFamily="34" charset="0"/>
          </a:endParaRPr>
        </a:p>
        <a:p>
          <a:pPr algn="ctr"/>
          <a:r>
            <a:rPr lang="en-US" sz="1100" b="1">
              <a:latin typeface="Arial" panose="020B0604020202020204" pitchFamily="34" charset="0"/>
              <a:cs typeface="Arial" panose="020B0604020202020204" pitchFamily="34" charset="0"/>
            </a:rPr>
            <a:t>(Summary statistics of Portfolio,</a:t>
          </a:r>
          <a:r>
            <a:rPr lang="en-US" sz="1100" b="1" baseline="0">
              <a:latin typeface="Arial" panose="020B0604020202020204" pitchFamily="34" charset="0"/>
              <a:cs typeface="Arial" panose="020B0604020202020204" pitchFamily="34" charset="0"/>
            </a:rPr>
            <a:t> Risk-free Rates, Market Rates, and Portfolio Mean Excess Returns</a:t>
          </a:r>
          <a:r>
            <a:rPr lang="en-US" sz="1100" b="1">
              <a:latin typeface="Arial" panose="020B0604020202020204" pitchFamily="34" charset="0"/>
              <a:cs typeface="Arial" panose="020B0604020202020204" pitchFamily="34" charset="0"/>
            </a:rPr>
            <a:t>)</a:t>
          </a:r>
          <a:endParaRPr lang="en-US"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625475</xdr:colOff>
      <xdr:row>5</xdr:row>
      <xdr:rowOff>34925</xdr:rowOff>
    </xdr:to>
    <xdr:sp macro="" textlink="">
      <xdr:nvSpPr>
        <xdr:cNvPr id="2" name="TextBox 1">
          <a:extLst>
            <a:ext uri="{FF2B5EF4-FFF2-40B4-BE49-F238E27FC236}">
              <a16:creationId xmlns:a16="http://schemas.microsoft.com/office/drawing/2014/main" id="{A16ADD2E-31DA-3144-B980-050A41B6B51A}"/>
            </a:ext>
          </a:extLst>
        </xdr:cNvPr>
        <xdr:cNvSpPr txBox="1"/>
      </xdr:nvSpPr>
      <xdr:spPr>
        <a:xfrm>
          <a:off x="825500" y="203200"/>
          <a:ext cx="12182475"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Graphs and Charts</a:t>
          </a:r>
          <a:endParaRPr lang="en-US" sz="1100" b="1">
            <a:latin typeface="Arial" panose="020B0604020202020204" pitchFamily="34" charset="0"/>
            <a:cs typeface="Arial" panose="020B0604020202020204" pitchFamily="34" charset="0"/>
          </a:endParaRPr>
        </a:p>
        <a:p>
          <a:endParaRPr lang="en-US" sz="1100" b="1">
            <a:latin typeface="Arial" panose="020B0604020202020204" pitchFamily="34" charset="0"/>
            <a:cs typeface="Arial" panose="020B0604020202020204" pitchFamily="34" charset="0"/>
          </a:endParaRPr>
        </a:p>
        <a:p>
          <a:pPr algn="ctr"/>
          <a:r>
            <a:rPr lang="en-US" sz="1100" b="1">
              <a:latin typeface="Arial" panose="020B0604020202020204" pitchFamily="34" charset="0"/>
              <a:cs typeface="Arial" panose="020B0604020202020204" pitchFamily="34" charset="0"/>
            </a:rPr>
            <a:t>(Visuals of the portfolio</a:t>
          </a:r>
          <a:r>
            <a:rPr lang="en-US" sz="1100" b="1" baseline="0">
              <a:latin typeface="Arial" panose="020B0604020202020204" pitchFamily="34" charset="0"/>
              <a:cs typeface="Arial" panose="020B0604020202020204" pitchFamily="34" charset="0"/>
            </a:rPr>
            <a:t> returns, 3mo T-Bills, SP500, and Portfolio Mean Excess Returns</a:t>
          </a:r>
          <a:r>
            <a:rPr lang="en-US" sz="1100" b="1">
              <a:latin typeface="Arial" panose="020B0604020202020204" pitchFamily="34" charset="0"/>
              <a:cs typeface="Arial" panose="020B0604020202020204" pitchFamily="34" charset="0"/>
            </a:rPr>
            <a:t>)</a:t>
          </a:r>
          <a:endParaRPr lang="en-US" sz="1100" b="0">
            <a:latin typeface="Arial" panose="020B0604020202020204" pitchFamily="34" charset="0"/>
            <a:cs typeface="Arial" panose="020B0604020202020204" pitchFamily="34" charset="0"/>
          </a:endParaRPr>
        </a:p>
      </xdr:txBody>
    </xdr:sp>
    <xdr:clientData/>
  </xdr:twoCellAnchor>
  <xdr:twoCellAnchor>
    <xdr:from>
      <xdr:col>9</xdr:col>
      <xdr:colOff>25400</xdr:colOff>
      <xdr:row>81</xdr:row>
      <xdr:rowOff>50800</xdr:rowOff>
    </xdr:from>
    <xdr:to>
      <xdr:col>23</xdr:col>
      <xdr:colOff>647700</xdr:colOff>
      <xdr:row>107</xdr:row>
      <xdr:rowOff>63500</xdr:rowOff>
    </xdr:to>
    <xdr:graphicFrame macro="">
      <xdr:nvGraphicFramePr>
        <xdr:cNvPr id="4" name="Chart 3">
          <a:extLst>
            <a:ext uri="{FF2B5EF4-FFF2-40B4-BE49-F238E27FC236}">
              <a16:creationId xmlns:a16="http://schemas.microsoft.com/office/drawing/2014/main" id="{55554F4A-8ADE-4945-B202-F5D42F503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xdr:colOff>
      <xdr:row>9</xdr:row>
      <xdr:rowOff>50800</xdr:rowOff>
    </xdr:from>
    <xdr:to>
      <xdr:col>23</xdr:col>
      <xdr:colOff>647700</xdr:colOff>
      <xdr:row>32</xdr:row>
      <xdr:rowOff>114300</xdr:rowOff>
    </xdr:to>
    <xdr:graphicFrame macro="">
      <xdr:nvGraphicFramePr>
        <xdr:cNvPr id="5" name="Chart 4">
          <a:extLst>
            <a:ext uri="{FF2B5EF4-FFF2-40B4-BE49-F238E27FC236}">
              <a16:creationId xmlns:a16="http://schemas.microsoft.com/office/drawing/2014/main" id="{35D32CEC-0786-AD45-ADA2-05536F62D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25400</xdr:colOff>
      <xdr:row>33</xdr:row>
      <xdr:rowOff>114300</xdr:rowOff>
    </xdr:from>
    <xdr:to>
      <xdr:col>23</xdr:col>
      <xdr:colOff>622300</xdr:colOff>
      <xdr:row>56</xdr:row>
      <xdr:rowOff>12700</xdr:rowOff>
    </xdr:to>
    <xdr:graphicFrame macro="">
      <xdr:nvGraphicFramePr>
        <xdr:cNvPr id="6" name="Chart 5">
          <a:extLst>
            <a:ext uri="{FF2B5EF4-FFF2-40B4-BE49-F238E27FC236}">
              <a16:creationId xmlns:a16="http://schemas.microsoft.com/office/drawing/2014/main" id="{3B051270-DB0D-B446-958D-E99FE8F331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xdr:colOff>
      <xdr:row>57</xdr:row>
      <xdr:rowOff>38100</xdr:rowOff>
    </xdr:from>
    <xdr:to>
      <xdr:col>23</xdr:col>
      <xdr:colOff>609600</xdr:colOff>
      <xdr:row>79</xdr:row>
      <xdr:rowOff>114300</xdr:rowOff>
    </xdr:to>
    <xdr:graphicFrame macro="">
      <xdr:nvGraphicFramePr>
        <xdr:cNvPr id="7" name="Chart 6">
          <a:extLst>
            <a:ext uri="{FF2B5EF4-FFF2-40B4-BE49-F238E27FC236}">
              <a16:creationId xmlns:a16="http://schemas.microsoft.com/office/drawing/2014/main" id="{2A4D3E9A-14E4-B442-A5C3-F3428011D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50854</xdr:colOff>
      <xdr:row>41</xdr:row>
      <xdr:rowOff>88901</xdr:rowOff>
    </xdr:from>
    <xdr:to>
      <xdr:col>7</xdr:col>
      <xdr:colOff>564376</xdr:colOff>
      <xdr:row>68</xdr:row>
      <xdr:rowOff>101601</xdr:rowOff>
    </xdr:to>
    <xdr:pic>
      <xdr:nvPicPr>
        <xdr:cNvPr id="8" name="Picture 7">
          <a:extLst>
            <a:ext uri="{FF2B5EF4-FFF2-40B4-BE49-F238E27FC236}">
              <a16:creationId xmlns:a16="http://schemas.microsoft.com/office/drawing/2014/main" id="{653964C8-2F64-FB4C-AEBF-3F915A20BC66}"/>
            </a:ext>
          </a:extLst>
        </xdr:cNvPr>
        <xdr:cNvPicPr>
          <a:picLocks noChangeAspect="1"/>
        </xdr:cNvPicPr>
      </xdr:nvPicPr>
      <xdr:blipFill>
        <a:blip xmlns:r="http://schemas.openxmlformats.org/officeDocument/2006/relationships" r:embed="rId5"/>
        <a:stretch>
          <a:fillRect/>
        </a:stretch>
      </xdr:blipFill>
      <xdr:spPr>
        <a:xfrm>
          <a:off x="50854" y="8420101"/>
          <a:ext cx="6292022" cy="5499100"/>
        </a:xfrm>
        <a:prstGeom prst="rect">
          <a:avLst/>
        </a:prstGeom>
        <a:effectLst>
          <a:glow rad="127000">
            <a:schemeClr val="bg1"/>
          </a:glow>
        </a:effectLst>
      </xdr:spPr>
    </xdr:pic>
    <xdr:clientData/>
  </xdr:twoCellAnchor>
  <xdr:twoCellAnchor editAs="oneCell">
    <xdr:from>
      <xdr:col>0</xdr:col>
      <xdr:colOff>25400</xdr:colOff>
      <xdr:row>9</xdr:row>
      <xdr:rowOff>89398</xdr:rowOff>
    </xdr:from>
    <xdr:to>
      <xdr:col>7</xdr:col>
      <xdr:colOff>573543</xdr:colOff>
      <xdr:row>37</xdr:row>
      <xdr:rowOff>497</xdr:rowOff>
    </xdr:to>
    <xdr:pic>
      <xdr:nvPicPr>
        <xdr:cNvPr id="9" name="Picture 8">
          <a:extLst>
            <a:ext uri="{FF2B5EF4-FFF2-40B4-BE49-F238E27FC236}">
              <a16:creationId xmlns:a16="http://schemas.microsoft.com/office/drawing/2014/main" id="{8EB2BDD2-0E4D-DB4A-A0BF-E10CE134FE41}"/>
            </a:ext>
          </a:extLst>
        </xdr:cNvPr>
        <xdr:cNvPicPr>
          <a:picLocks noChangeAspect="1"/>
        </xdr:cNvPicPr>
      </xdr:nvPicPr>
      <xdr:blipFill>
        <a:blip xmlns:r="http://schemas.openxmlformats.org/officeDocument/2006/relationships" r:embed="rId6"/>
        <a:stretch>
          <a:fillRect/>
        </a:stretch>
      </xdr:blipFill>
      <xdr:spPr>
        <a:xfrm>
          <a:off x="25400" y="1918198"/>
          <a:ext cx="6326643" cy="5600699"/>
        </a:xfrm>
        <a:prstGeom prst="rect">
          <a:avLst/>
        </a:prstGeom>
        <a:effectLst>
          <a:glow rad="127000">
            <a:schemeClr val="bg1"/>
          </a:glo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13</xdr:col>
      <xdr:colOff>242358</xdr:colOff>
      <xdr:row>5</xdr:row>
      <xdr:rowOff>77258</xdr:rowOff>
    </xdr:to>
    <xdr:sp macro="" textlink="">
      <xdr:nvSpPr>
        <xdr:cNvPr id="2" name="TextBox 1">
          <a:extLst>
            <a:ext uri="{FF2B5EF4-FFF2-40B4-BE49-F238E27FC236}">
              <a16:creationId xmlns:a16="http://schemas.microsoft.com/office/drawing/2014/main" id="{D4388621-BB91-0C4B-BF52-0E343EDB25EC}"/>
            </a:ext>
          </a:extLst>
        </xdr:cNvPr>
        <xdr:cNvSpPr txBox="1"/>
      </xdr:nvSpPr>
      <xdr:spPr>
        <a:xfrm>
          <a:off x="825500" y="203200"/>
          <a:ext cx="10148358" cy="8900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Statistical Tests</a:t>
          </a:r>
          <a:endParaRPr lang="en-US" sz="1100" b="1">
            <a:latin typeface="Arial" panose="020B0604020202020204" pitchFamily="34" charset="0"/>
            <a:cs typeface="Arial" panose="020B0604020202020204" pitchFamily="34" charset="0"/>
          </a:endParaRPr>
        </a:p>
        <a:p>
          <a:endParaRPr lang="en-US" sz="1100" b="1">
            <a:latin typeface="Arial" panose="020B0604020202020204" pitchFamily="34" charset="0"/>
            <a:cs typeface="Arial" panose="020B0604020202020204" pitchFamily="34" charset="0"/>
          </a:endParaRPr>
        </a:p>
        <a:p>
          <a:pPr algn="ctr"/>
          <a:r>
            <a:rPr lang="en-US" sz="1100" b="1">
              <a:latin typeface="Arial" panose="020B0604020202020204" pitchFamily="34" charset="0"/>
              <a:cs typeface="Arial" panose="020B0604020202020204" pitchFamily="34" charset="0"/>
            </a:rPr>
            <a:t>(Financial</a:t>
          </a:r>
          <a:r>
            <a:rPr lang="en-US" sz="1100" b="1" baseline="0">
              <a:latin typeface="Arial" panose="020B0604020202020204" pitchFamily="34" charset="0"/>
              <a:cs typeface="Arial" panose="020B0604020202020204" pitchFamily="34" charset="0"/>
            </a:rPr>
            <a:t> Ratios</a:t>
          </a:r>
          <a:r>
            <a:rPr lang="en-US" sz="1100" b="1">
              <a:latin typeface="Arial" panose="020B0604020202020204" pitchFamily="34" charset="0"/>
              <a:cs typeface="Arial" panose="020B0604020202020204" pitchFamily="34" charset="0"/>
            </a:rPr>
            <a:t>)</a:t>
          </a:r>
          <a:endParaRPr lang="en-US" sz="1100" b="0">
            <a:latin typeface="Arial" panose="020B0604020202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622300</xdr:colOff>
      <xdr:row>28</xdr:row>
      <xdr:rowOff>177800</xdr:rowOff>
    </xdr:to>
    <xdr:sp macro="" textlink="">
      <xdr:nvSpPr>
        <xdr:cNvPr id="2" name="TextBox 1">
          <a:extLst>
            <a:ext uri="{FF2B5EF4-FFF2-40B4-BE49-F238E27FC236}">
              <a16:creationId xmlns:a16="http://schemas.microsoft.com/office/drawing/2014/main" id="{6C2ACAF3-0DE8-BD47-BF6F-A7898E6AB7AA}"/>
            </a:ext>
          </a:extLst>
        </xdr:cNvPr>
        <xdr:cNvSpPr txBox="1"/>
      </xdr:nvSpPr>
      <xdr:spPr>
        <a:xfrm>
          <a:off x="825500" y="203200"/>
          <a:ext cx="13830300" cy="566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latin typeface="Arial" panose="020B0604020202020204" pitchFamily="34" charset="0"/>
              <a:cs typeface="Arial" panose="020B0604020202020204" pitchFamily="34" charset="0"/>
            </a:rPr>
            <a:t>References</a:t>
          </a:r>
          <a:endParaRPr lang="en-US" sz="1100" b="1">
            <a:latin typeface="Arial" panose="020B0604020202020204" pitchFamily="34" charset="0"/>
            <a:cs typeface="Arial" panose="020B0604020202020204" pitchFamily="34" charset="0"/>
          </a:endParaRPr>
        </a:p>
        <a:p>
          <a:endParaRPr lang="en-US" sz="1100" b="1">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r>
            <a:rPr lang="en-US" sz="1600" b="0" i="0" u="none" strike="noStrike">
              <a:solidFill>
                <a:schemeClr val="dk1"/>
              </a:solidFill>
              <a:effectLst/>
              <a:latin typeface="Arial" panose="020B0604020202020204" pitchFamily="34" charset="0"/>
              <a:ea typeface="+mn-ea"/>
              <a:cs typeface="Arial" panose="020B0604020202020204" pitchFamily="34" charset="0"/>
            </a:rPr>
            <a:t>* Damodaran, Aswath. “Damodaran Online: Home Page for Aswath Damodaran.” </a:t>
          </a:r>
          <a:r>
            <a:rPr lang="en-US" sz="1600" b="0" i="1" u="none" strike="noStrike">
              <a:solidFill>
                <a:schemeClr val="dk1"/>
              </a:solidFill>
              <a:effectLst/>
              <a:latin typeface="Arial" panose="020B0604020202020204" pitchFamily="34" charset="0"/>
              <a:ea typeface="+mn-ea"/>
              <a:cs typeface="Arial" panose="020B0604020202020204" pitchFamily="34" charset="0"/>
            </a:rPr>
            <a:t>Nyu.edu</a:t>
          </a:r>
          <a:r>
            <a:rPr lang="en-US" sz="1600" b="0" i="0" u="none" strike="noStrike">
              <a:solidFill>
                <a:schemeClr val="dk1"/>
              </a:solidFill>
              <a:effectLst/>
              <a:latin typeface="Arial" panose="020B0604020202020204" pitchFamily="34" charset="0"/>
              <a:ea typeface="+mn-ea"/>
              <a:cs typeface="Arial" panose="020B0604020202020204" pitchFamily="34" charset="0"/>
            </a:rPr>
            <a:t>, 9 Jan. 2025, https://pages.stern.nyu.edu/~adamodar/.</a:t>
          </a:r>
        </a:p>
        <a:p>
          <a:endParaRPr lang="en-US" sz="1600" b="0" i="0" u="none" strike="noStrike">
            <a:solidFill>
              <a:schemeClr val="dk1"/>
            </a:solidFill>
            <a:effectLst/>
            <a:latin typeface="Arial" panose="020B0604020202020204" pitchFamily="34" charset="0"/>
            <a:ea typeface="+mn-ea"/>
            <a:cs typeface="Arial" panose="020B0604020202020204" pitchFamily="34" charset="0"/>
          </a:endParaRPr>
        </a:p>
        <a:p>
          <a:r>
            <a:rPr lang="en-US" sz="1600" b="0" i="0" u="none" strike="noStrike">
              <a:solidFill>
                <a:schemeClr val="dk1"/>
              </a:solidFill>
              <a:effectLst/>
              <a:latin typeface="Arial" panose="020B0604020202020204" pitchFamily="34" charset="0"/>
              <a:ea typeface="+mn-ea"/>
              <a:cs typeface="Arial" panose="020B0604020202020204" pitchFamily="34" charset="0"/>
            </a:rPr>
            <a:t>*</a:t>
          </a:r>
          <a:r>
            <a:rPr lang="en-US" sz="16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600" b="0" i="0" u="none" strike="noStrike">
              <a:solidFill>
                <a:schemeClr val="dk1"/>
              </a:solidFill>
              <a:effectLst/>
              <a:latin typeface="Arial" panose="020B0604020202020204" pitchFamily="34" charset="0"/>
              <a:ea typeface="+mn-ea"/>
              <a:cs typeface="Arial" panose="020B0604020202020204" pitchFamily="34" charset="0"/>
            </a:rPr>
            <a:t>Fidelity Investments. (2025). </a:t>
          </a:r>
          <a:r>
            <a:rPr lang="en-US" sz="1600" b="0" i="1" u="none" strike="noStrike">
              <a:solidFill>
                <a:schemeClr val="dk1"/>
              </a:solidFill>
              <a:effectLst/>
              <a:latin typeface="Arial" panose="020B0604020202020204" pitchFamily="34" charset="0"/>
              <a:ea typeface="+mn-ea"/>
              <a:cs typeface="Arial" panose="020B0604020202020204" pitchFamily="34" charset="0"/>
            </a:rPr>
            <a:t>Portfolio performance report for Roth IRA (masked), Sep</a:t>
          </a:r>
          <a:r>
            <a:rPr lang="en-US" sz="1600" b="0" i="1" u="none" strike="noStrike" baseline="0">
              <a:solidFill>
                <a:schemeClr val="dk1"/>
              </a:solidFill>
              <a:effectLst/>
              <a:latin typeface="Arial" panose="020B0604020202020204" pitchFamily="34" charset="0"/>
              <a:ea typeface="+mn-ea"/>
              <a:cs typeface="Arial" panose="020B0604020202020204" pitchFamily="34" charset="0"/>
            </a:rPr>
            <a:t> 2022 - Oct</a:t>
          </a:r>
          <a:r>
            <a:rPr lang="en-US" sz="1600" b="0" i="1" u="none" strike="noStrike">
              <a:solidFill>
                <a:schemeClr val="dk1"/>
              </a:solidFill>
              <a:effectLst/>
              <a:latin typeface="Arial" panose="020B0604020202020204" pitchFamily="34" charset="0"/>
              <a:ea typeface="+mn-ea"/>
              <a:cs typeface="Arial" panose="020B0604020202020204" pitchFamily="34" charset="0"/>
            </a:rPr>
            <a:t> 2025</a:t>
          </a:r>
          <a:r>
            <a:rPr lang="en-US" sz="1600" b="0" i="0" u="none" strike="noStrike">
              <a:solidFill>
                <a:schemeClr val="dk1"/>
              </a:solidFill>
              <a:effectLst/>
              <a:latin typeface="Arial" panose="020B0604020202020204" pitchFamily="34" charset="0"/>
              <a:ea typeface="+mn-ea"/>
              <a:cs typeface="Arial" panose="020B0604020202020204" pitchFamily="34" charset="0"/>
            </a:rPr>
            <a:t> [Private account statement]. Fidelity </a:t>
          </a:r>
          <a:r>
            <a:rPr lang="en-US" sz="1600" b="0" i="0" u="none" strike="noStrike" baseline="0">
              <a:solidFill>
                <a:schemeClr val="dk1"/>
              </a:solidFill>
              <a:effectLst/>
              <a:latin typeface="Arial" panose="020B0604020202020204" pitchFamily="34" charset="0"/>
              <a:ea typeface="+mn-ea"/>
              <a:cs typeface="Arial" panose="020B0604020202020204" pitchFamily="34" charset="0"/>
            </a:rPr>
            <a:t>      </a:t>
          </a:r>
        </a:p>
        <a:p>
          <a:r>
            <a:rPr lang="en-US" sz="16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600" b="0" i="0" u="none" strike="noStrike">
              <a:solidFill>
                <a:schemeClr val="dk1"/>
              </a:solidFill>
              <a:effectLst/>
              <a:latin typeface="Arial" panose="020B0604020202020204" pitchFamily="34" charset="0"/>
              <a:ea typeface="+mn-ea"/>
              <a:cs typeface="Arial" panose="020B0604020202020204" pitchFamily="34" charset="0"/>
            </a:rPr>
            <a:t>Investments. Access requires login.</a:t>
          </a:r>
        </a:p>
        <a:p>
          <a:endParaRPr lang="en-US" sz="1600" b="0" i="0" u="none" strike="noStrike">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600" b="0" i="0" u="none" strike="noStrike">
              <a:solidFill>
                <a:schemeClr val="dk1"/>
              </a:solidFill>
              <a:effectLst/>
              <a:latin typeface="Arial" panose="020B0604020202020204" pitchFamily="34" charset="0"/>
              <a:ea typeface="+mn-ea"/>
              <a:cs typeface="Arial" panose="020B0604020202020204" pitchFamily="34" charset="0"/>
            </a:rPr>
            <a:t>* FRED. “S&amp;P 500.” </a:t>
          </a:r>
          <a:r>
            <a:rPr lang="en-US" sz="1600" b="0" i="1" u="none" strike="noStrike">
              <a:solidFill>
                <a:schemeClr val="dk1"/>
              </a:solidFill>
              <a:effectLst/>
              <a:latin typeface="Arial" panose="020B0604020202020204" pitchFamily="34" charset="0"/>
              <a:ea typeface="+mn-ea"/>
              <a:cs typeface="Arial" panose="020B0604020202020204" pitchFamily="34" charset="0"/>
            </a:rPr>
            <a:t>Https://Fred.stlouisfed.org/Series/SP500</a:t>
          </a:r>
          <a:r>
            <a:rPr lang="en-US" sz="1600" b="0" i="0" u="none" strike="noStrike">
              <a:solidFill>
                <a:schemeClr val="dk1"/>
              </a:solidFill>
              <a:effectLst/>
              <a:latin typeface="Arial" panose="020B0604020202020204" pitchFamily="34" charset="0"/>
              <a:ea typeface="+mn-ea"/>
              <a:cs typeface="Arial" panose="020B0604020202020204" pitchFamily="34" charset="0"/>
            </a:rPr>
            <a:t>, 20 Apr. 2020, fred.stlouisfed.org/series/SP500. Accessed 29 Oct. 2025.</a:t>
          </a:r>
        </a:p>
        <a:p>
          <a:endParaRPr lang="en-US" sz="1600" b="0" i="0" u="none" strike="noStrike">
            <a:solidFill>
              <a:schemeClr val="dk1"/>
            </a:solidFill>
            <a:effectLst/>
            <a:latin typeface="Arial" panose="020B0604020202020204" pitchFamily="34" charset="0"/>
            <a:ea typeface="+mn-ea"/>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a:p>
          <a:endParaRPr lang="en-US" sz="1100" b="0">
            <a:latin typeface="Arial" panose="020B0604020202020204" pitchFamily="34" charset="0"/>
            <a:cs typeface="Arial" panose="020B06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kuan/Desktop/Business%20Statistics%20and%20Analysis/Master%20Review%20-%20Main%20/Financial%20Markets%20/Historical%20RiskPremium%201928%20-%202024.xlsx" TargetMode="External"/><Relationship Id="rId1" Type="http://schemas.openxmlformats.org/officeDocument/2006/relationships/externalLinkPath" Target="/Users/kuan/Desktop/Business%20Statistics%20and%20Analysis/Master%20Review%20-%20Main%20/Financial%20Markets%20/Historical%20RiskPremium%201928%20-%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planations and FAQ"/>
      <sheetName val="Returns by year"/>
      <sheetName val="S&amp;P 500 &amp; Raw Data"/>
      <sheetName val="Small Cap"/>
      <sheetName val="T. Bond yield &amp; return"/>
      <sheetName val="T. Bill rates"/>
      <sheetName val="Inflation Rate"/>
      <sheetName val="Summary for ppt"/>
      <sheetName val="Home Prices (Raw Data)"/>
      <sheetName val="Moody's Rates"/>
      <sheetName val="Home Prices"/>
      <sheetName val="Gold Prices"/>
      <sheetName val="Return Chart"/>
      <sheetName val="NominalvsReal"/>
      <sheetName val="NominalvsRealValue"/>
      <sheetName val="Sheet10"/>
      <sheetName val="Sheet11"/>
      <sheetName val="Sheet12"/>
      <sheetName val="Sheet13"/>
      <sheetName val="Sheet14"/>
      <sheetName val="Sheet15"/>
      <sheetName val="Sheet16"/>
    </sheetNames>
    <sheetDataSet>
      <sheetData sheetId="0"/>
      <sheetData sheetId="1"/>
      <sheetData sheetId="2">
        <row r="3">
          <cell r="B3">
            <v>17.66</v>
          </cell>
        </row>
        <row r="4">
          <cell r="B4">
            <v>24.35</v>
          </cell>
          <cell r="C4">
            <v>1.04705</v>
          </cell>
          <cell r="F4">
            <v>8.354708589799302E-3</v>
          </cell>
          <cell r="J4">
            <v>3.2195514702324381E-2</v>
          </cell>
        </row>
        <row r="5">
          <cell r="B5">
            <v>21.45</v>
          </cell>
          <cell r="C5">
            <v>0.87944999999999995</v>
          </cell>
          <cell r="F5">
            <v>4.2038041563204259E-2</v>
          </cell>
          <cell r="J5">
            <v>3.0178562399040432E-2</v>
          </cell>
        </row>
        <row r="6">
          <cell r="B6">
            <v>15.34</v>
          </cell>
          <cell r="C6">
            <v>0.72097999999999995</v>
          </cell>
          <cell r="F6">
            <v>4.5409314348970366E-2</v>
          </cell>
          <cell r="J6">
            <v>5.3978094648238287E-3</v>
          </cell>
        </row>
        <row r="7">
          <cell r="B7">
            <v>8.1199999999999992</v>
          </cell>
          <cell r="C7">
            <v>0.49531999999999993</v>
          </cell>
          <cell r="F7">
            <v>-2.5588559619422531E-2</v>
          </cell>
          <cell r="J7">
            <v>-0.15680775082667592</v>
          </cell>
        </row>
        <row r="8">
          <cell r="B8">
            <v>6.92</v>
          </cell>
          <cell r="C8">
            <v>0.49823999999999996</v>
          </cell>
          <cell r="F8">
            <v>8.7903069904773257E-2</v>
          </cell>
          <cell r="J8">
            <v>0.23589601675740196</v>
          </cell>
        </row>
        <row r="9">
          <cell r="B9">
            <v>9.9700000000000006</v>
          </cell>
          <cell r="C9">
            <v>0.40877000000000002</v>
          </cell>
          <cell r="F9">
            <v>1.8552720891857361E-2</v>
          </cell>
          <cell r="J9">
            <v>0.1296689369754826</v>
          </cell>
        </row>
        <row r="10">
          <cell r="B10">
            <v>9.5</v>
          </cell>
          <cell r="C10">
            <v>0.35149999999999998</v>
          </cell>
          <cell r="F10">
            <v>7.9634426179656104E-2</v>
          </cell>
          <cell r="J10">
            <v>0.18816429268482648</v>
          </cell>
        </row>
        <row r="11">
          <cell r="B11">
            <v>13.43</v>
          </cell>
          <cell r="C11">
            <v>0.51034000000000002</v>
          </cell>
          <cell r="F11">
            <v>4.4720477296566127E-2</v>
          </cell>
          <cell r="J11">
            <v>0.1330773186567917</v>
          </cell>
        </row>
        <row r="12">
          <cell r="B12">
            <v>17.18</v>
          </cell>
          <cell r="C12">
            <v>0.54</v>
          </cell>
          <cell r="F12">
            <v>5.0178754045450601E-2</v>
          </cell>
          <cell r="J12">
            <v>0.11383815871922703</v>
          </cell>
        </row>
        <row r="13">
          <cell r="B13">
            <v>10.55</v>
          </cell>
          <cell r="C13">
            <v>0.55915000000000004</v>
          </cell>
          <cell r="F13">
            <v>1.379146059646038E-2</v>
          </cell>
          <cell r="J13">
            <v>-4.4161916839982614E-2</v>
          </cell>
        </row>
        <row r="14">
          <cell r="B14">
            <v>13.14</v>
          </cell>
          <cell r="C14">
            <v>0.49931999999999999</v>
          </cell>
          <cell r="F14">
            <v>4.2132485322046068E-2</v>
          </cell>
          <cell r="J14">
            <v>9.2358817136874202E-2</v>
          </cell>
        </row>
        <row r="15">
          <cell r="B15">
            <v>12.46</v>
          </cell>
          <cell r="C15">
            <v>0.53578000000000003</v>
          </cell>
          <cell r="F15">
            <v>4.4122613942060671E-2</v>
          </cell>
          <cell r="J15">
            <v>7.9831377653461405E-2</v>
          </cell>
        </row>
        <row r="16">
          <cell r="B16">
            <v>10.58</v>
          </cell>
          <cell r="C16">
            <v>0.55015999999999998</v>
          </cell>
          <cell r="F16">
            <v>5.4024815962845509E-2</v>
          </cell>
          <cell r="J16">
            <v>8.6481371775829569E-2</v>
          </cell>
        </row>
        <row r="17">
          <cell r="B17">
            <v>8.69</v>
          </cell>
          <cell r="C17">
            <v>0.53877999999999993</v>
          </cell>
          <cell r="F17">
            <v>-2.0221975848580105E-2</v>
          </cell>
          <cell r="J17">
            <v>5.0071728572759232E-2</v>
          </cell>
        </row>
        <row r="18">
          <cell r="B18">
            <v>9.77</v>
          </cell>
          <cell r="C18">
            <v>0.58619999999999994</v>
          </cell>
          <cell r="F18">
            <v>2.2948682374484164E-2</v>
          </cell>
          <cell r="J18">
            <v>5.1799010426587015E-2</v>
          </cell>
        </row>
        <row r="19">
          <cell r="B19">
            <v>11.67</v>
          </cell>
          <cell r="C19">
            <v>0.54849000000000003</v>
          </cell>
          <cell r="F19">
            <v>2.4899999999999999E-2</v>
          </cell>
          <cell r="J19">
            <v>8.044670060105924E-2</v>
          </cell>
        </row>
        <row r="20">
          <cell r="B20">
            <v>13.28</v>
          </cell>
          <cell r="C20">
            <v>0.61087999999999998</v>
          </cell>
          <cell r="F20">
            <v>2.5776111579070303E-2</v>
          </cell>
          <cell r="J20">
            <v>6.5658635882561697E-2</v>
          </cell>
        </row>
        <row r="21">
          <cell r="B21">
            <v>17.36</v>
          </cell>
          <cell r="C21">
            <v>0.67703999999999998</v>
          </cell>
          <cell r="F21">
            <v>3.8044173419237229E-2</v>
          </cell>
          <cell r="J21">
            <v>6.799865477817886E-2</v>
          </cell>
        </row>
        <row r="22">
          <cell r="B22">
            <v>15.3</v>
          </cell>
          <cell r="C22">
            <v>0.59670000000000001</v>
          </cell>
          <cell r="F22">
            <v>3.1283745375695685E-2</v>
          </cell>
          <cell r="J22">
            <v>2.5080329773195936E-2</v>
          </cell>
        </row>
        <row r="23">
          <cell r="B23">
            <v>15.3</v>
          </cell>
          <cell r="C23">
            <v>0.79559999999999997</v>
          </cell>
          <cell r="F23">
            <v>9.1969680628322358E-3</v>
          </cell>
          <cell r="J23">
            <v>2.6212022665691934E-3</v>
          </cell>
        </row>
        <row r="24">
          <cell r="B24">
            <v>15.2</v>
          </cell>
          <cell r="C24">
            <v>0.9728</v>
          </cell>
          <cell r="F24">
            <v>1.9510369413175046E-2</v>
          </cell>
          <cell r="J24">
            <v>3.4369595605103213E-2</v>
          </cell>
        </row>
        <row r="25">
          <cell r="B25">
            <v>16.79</v>
          </cell>
          <cell r="C25">
            <v>1.1920899999999999</v>
          </cell>
          <cell r="F25">
            <v>4.6634851827973139E-2</v>
          </cell>
          <cell r="J25">
            <v>5.3773011179658936E-2</v>
          </cell>
        </row>
        <row r="26">
          <cell r="B26">
            <v>20.43</v>
          </cell>
          <cell r="C26">
            <v>1.5322499999999999</v>
          </cell>
          <cell r="F26">
            <v>4.2959574171096103E-3</v>
          </cell>
          <cell r="J26">
            <v>4.2388173056720914E-2</v>
          </cell>
        </row>
        <row r="27">
          <cell r="B27">
            <v>23.77</v>
          </cell>
          <cell r="C27">
            <v>1.4975099999999999</v>
          </cell>
          <cell r="F27">
            <v>-2.9531392208319886E-3</v>
          </cell>
          <cell r="J27">
            <v>-1.9098091301369691E-3</v>
          </cell>
        </row>
        <row r="28">
          <cell r="B28">
            <v>26.57</v>
          </cell>
          <cell r="C28">
            <v>1.5144900000000001</v>
          </cell>
          <cell r="F28">
            <v>2.2679961918305656E-2</v>
          </cell>
          <cell r="J28">
            <v>4.4412415047400768E-2</v>
          </cell>
        </row>
        <row r="29">
          <cell r="B29">
            <v>24.81</v>
          </cell>
          <cell r="C29">
            <v>1.4389799999999999</v>
          </cell>
          <cell r="F29">
            <v>4.1438402589088513E-2</v>
          </cell>
          <cell r="J29">
            <v>1.6201123818443276E-2</v>
          </cell>
        </row>
        <row r="30">
          <cell r="B30">
            <v>35.979999999999997</v>
          </cell>
          <cell r="C30">
            <v>1.8709599999999997</v>
          </cell>
          <cell r="F30">
            <v>3.2898034558095555E-2</v>
          </cell>
          <cell r="J30">
            <v>6.1579051817707856E-2</v>
          </cell>
        </row>
        <row r="31">
          <cell r="B31">
            <v>45.48</v>
          </cell>
          <cell r="C31">
            <v>2.2285200000000001</v>
          </cell>
          <cell r="F31">
            <v>-1.3364391288618781E-2</v>
          </cell>
          <cell r="J31">
            <v>2.044690004344954E-2</v>
          </cell>
        </row>
        <row r="32">
          <cell r="B32">
            <v>46.67</v>
          </cell>
          <cell r="C32">
            <v>2.1934900000000002</v>
          </cell>
          <cell r="F32">
            <v>-2.2557738173154165E-2</v>
          </cell>
          <cell r="J32">
            <v>-2.3526541979620903E-2</v>
          </cell>
        </row>
        <row r="33">
          <cell r="B33">
            <v>39.99</v>
          </cell>
          <cell r="C33">
            <v>1.79955</v>
          </cell>
          <cell r="F33">
            <v>6.7970128466249904E-2</v>
          </cell>
          <cell r="J33">
            <v>-7.1892844025423647E-3</v>
          </cell>
        </row>
        <row r="34">
          <cell r="B34">
            <v>55.21</v>
          </cell>
          <cell r="C34">
            <v>2.2636100000000003</v>
          </cell>
          <cell r="F34">
            <v>-2.0990181755274694E-2</v>
          </cell>
          <cell r="J34">
            <v>6.4300928973360261E-2</v>
          </cell>
        </row>
        <row r="35">
          <cell r="B35">
            <v>59.89</v>
          </cell>
          <cell r="C35">
            <v>1.9763700000000002</v>
          </cell>
          <cell r="F35">
            <v>-2.6466312591385065E-2</v>
          </cell>
          <cell r="J35">
            <v>1.5743430895022732E-2</v>
          </cell>
        </row>
        <row r="36">
          <cell r="B36">
            <v>58.11</v>
          </cell>
          <cell r="C36">
            <v>1.9815510000000001</v>
          </cell>
          <cell r="F36">
            <v>0.11639503690963365</v>
          </cell>
          <cell r="J36">
            <v>6.6631871633034342E-2</v>
          </cell>
        </row>
        <row r="37">
          <cell r="B37">
            <v>71.55</v>
          </cell>
          <cell r="C37">
            <v>2.0391750000000002</v>
          </cell>
          <cell r="F37">
            <v>2.0609208076323167E-2</v>
          </cell>
          <cell r="J37">
            <v>5.0999999999999997E-2</v>
          </cell>
        </row>
        <row r="38">
          <cell r="B38">
            <v>63.1</v>
          </cell>
          <cell r="C38">
            <v>2.1454</v>
          </cell>
          <cell r="F38">
            <v>5.693544054008462E-2</v>
          </cell>
          <cell r="J38">
            <v>6.4953279936065755E-2</v>
          </cell>
        </row>
        <row r="39">
          <cell r="B39">
            <v>75.02</v>
          </cell>
          <cell r="C39">
            <v>2.3481260000000002</v>
          </cell>
          <cell r="F39">
            <v>1.6841620739546127E-2</v>
          </cell>
          <cell r="J39">
            <v>5.4644805711862345E-2</v>
          </cell>
        </row>
        <row r="40">
          <cell r="B40">
            <v>84.75</v>
          </cell>
          <cell r="C40">
            <v>2.5848749999999998</v>
          </cell>
          <cell r="F40">
            <v>3.7280648911540815E-2</v>
          </cell>
          <cell r="J40">
            <v>5.1617392722850271E-2</v>
          </cell>
        </row>
        <row r="41">
          <cell r="B41">
            <v>92.43</v>
          </cell>
          <cell r="C41">
            <v>2.8283580000000001</v>
          </cell>
          <cell r="F41">
            <v>7.1885509359262342E-3</v>
          </cell>
          <cell r="J41">
            <v>3.1900094622538809E-2</v>
          </cell>
        </row>
        <row r="42">
          <cell r="B42">
            <v>80.33</v>
          </cell>
          <cell r="C42">
            <v>2.8838469999999998</v>
          </cell>
          <cell r="F42">
            <v>2.9079409324299622E-2</v>
          </cell>
          <cell r="J42">
            <v>-3.4453615975776369E-2</v>
          </cell>
        </row>
        <row r="43">
          <cell r="B43">
            <v>96.47</v>
          </cell>
          <cell r="C43">
            <v>2.9809230000000002</v>
          </cell>
          <cell r="F43">
            <v>-1.5806209932824666E-2</v>
          </cell>
          <cell r="J43">
            <v>8.9522661484468247E-3</v>
          </cell>
        </row>
        <row r="44">
          <cell r="B44">
            <v>103.86</v>
          </cell>
          <cell r="C44">
            <v>3.0430980000000001</v>
          </cell>
          <cell r="F44">
            <v>3.2746196950768365E-2</v>
          </cell>
          <cell r="J44">
            <v>4.845146224309746E-2</v>
          </cell>
        </row>
        <row r="45">
          <cell r="B45">
            <v>92.06</v>
          </cell>
          <cell r="C45">
            <v>3.2405119999999998</v>
          </cell>
          <cell r="F45">
            <v>-5.0140493209926106E-2</v>
          </cell>
          <cell r="J45">
            <v>-2.0251642507921469E-2</v>
          </cell>
        </row>
        <row r="46">
          <cell r="B46">
            <v>92.15</v>
          </cell>
          <cell r="C46">
            <v>3.1883900000000001</v>
          </cell>
          <cell r="F46">
            <v>0.16754737183412338</v>
          </cell>
          <cell r="J46">
            <v>5.6495676569888728E-2</v>
          </cell>
        </row>
        <row r="47">
          <cell r="B47">
            <v>102.09</v>
          </cell>
          <cell r="C47">
            <v>3.16479</v>
          </cell>
          <cell r="F47">
            <v>9.7868966197122972E-2</v>
          </cell>
          <cell r="J47">
            <v>0.1400146617421994</v>
          </cell>
        </row>
        <row r="48">
          <cell r="B48">
            <v>118.05</v>
          </cell>
          <cell r="C48">
            <v>3.1873499999999999</v>
          </cell>
          <cell r="F48">
            <v>2.818449050444969E-2</v>
          </cell>
          <cell r="J48">
            <v>0.11409093579389698</v>
          </cell>
        </row>
        <row r="49">
          <cell r="B49">
            <v>97.55</v>
          </cell>
          <cell r="C49">
            <v>3.6093500000000001</v>
          </cell>
          <cell r="F49">
            <v>3.6586646024150085E-2</v>
          </cell>
          <cell r="J49">
            <v>4.3180404854323576E-2</v>
          </cell>
        </row>
        <row r="50">
          <cell r="B50">
            <v>68.56</v>
          </cell>
          <cell r="C50">
            <v>3.7228080000000001</v>
          </cell>
          <cell r="F50">
            <v>1.9886086932378574E-2</v>
          </cell>
          <cell r="J50">
            <v>-4.3807197977191667E-2</v>
          </cell>
        </row>
        <row r="51">
          <cell r="B51">
            <v>90.19</v>
          </cell>
          <cell r="C51">
            <v>3.7338659999999999</v>
          </cell>
          <cell r="F51">
            <v>3.6052536026033838E-2</v>
          </cell>
          <cell r="J51">
            <v>0.11049964074144952</v>
          </cell>
        </row>
        <row r="52">
          <cell r="B52">
            <v>107.46</v>
          </cell>
          <cell r="C52">
            <v>4.2231779999999999</v>
          </cell>
          <cell r="F52">
            <v>0.1598456074290921</v>
          </cell>
          <cell r="J52">
            <v>0.19752813987098014</v>
          </cell>
        </row>
        <row r="53">
          <cell r="B53">
            <v>95.1</v>
          </cell>
          <cell r="C53">
            <v>4.85961</v>
          </cell>
          <cell r="F53">
            <v>1.2899606071070449E-2</v>
          </cell>
          <cell r="J53">
            <v>9.9546628520906386E-2</v>
          </cell>
        </row>
        <row r="54">
          <cell r="B54">
            <v>96.11</v>
          </cell>
          <cell r="C54">
            <v>5.1803290000000004</v>
          </cell>
          <cell r="F54">
            <v>-7.7758069075086478E-3</v>
          </cell>
          <cell r="J54">
            <v>3.1375849771690861E-2</v>
          </cell>
        </row>
        <row r="55">
          <cell r="B55">
            <v>107.94</v>
          </cell>
          <cell r="C55">
            <v>5.9690820000000002</v>
          </cell>
          <cell r="F55">
            <v>6.7072031247235459E-3</v>
          </cell>
          <cell r="J55">
            <v>-2.0091101436615355E-2</v>
          </cell>
        </row>
        <row r="56">
          <cell r="B56">
            <v>135.76</v>
          </cell>
          <cell r="C56">
            <v>6.4350240000000003</v>
          </cell>
          <cell r="F56">
            <v>-2.989744251999403E-2</v>
          </cell>
          <cell r="J56">
            <v>-3.3156783371910456E-2</v>
          </cell>
        </row>
        <row r="57">
          <cell r="B57">
            <v>122.55</v>
          </cell>
          <cell r="C57">
            <v>6.8260350000000001</v>
          </cell>
          <cell r="F57">
            <v>8.1992153358923542E-2</v>
          </cell>
          <cell r="J57">
            <v>8.4623994808912056E-2</v>
          </cell>
        </row>
        <row r="58">
          <cell r="B58">
            <v>140.63999999999999</v>
          </cell>
          <cell r="C58">
            <v>6.9335519999999997</v>
          </cell>
          <cell r="F58">
            <v>0.32814549486295586</v>
          </cell>
          <cell r="J58">
            <v>0.2905245565590866</v>
          </cell>
        </row>
        <row r="59">
          <cell r="B59">
            <v>164.93</v>
          </cell>
          <cell r="C59">
            <v>7.1249760000000002</v>
          </cell>
          <cell r="F59">
            <v>3.2002094451429264E-2</v>
          </cell>
          <cell r="J59">
            <v>0.16194289622798344</v>
          </cell>
        </row>
        <row r="60">
          <cell r="B60">
            <v>167.24</v>
          </cell>
          <cell r="C60">
            <v>7.8268319999999996</v>
          </cell>
          <cell r="F60">
            <v>0.13733364344102345</v>
          </cell>
          <cell r="J60">
            <v>0.15619207332454216</v>
          </cell>
        </row>
        <row r="61">
          <cell r="B61">
            <v>211.28</v>
          </cell>
          <cell r="C61">
            <v>8.1976639999999996</v>
          </cell>
          <cell r="F61">
            <v>0.2571248821260641</v>
          </cell>
          <cell r="J61">
            <v>0.23862641849916477</v>
          </cell>
        </row>
        <row r="62">
          <cell r="B62">
            <v>242.17</v>
          </cell>
          <cell r="C62">
            <v>8.1853459999999991</v>
          </cell>
          <cell r="F62">
            <v>0.24284215141767618</v>
          </cell>
          <cell r="J62">
            <v>0.21354060117746398</v>
          </cell>
        </row>
        <row r="63">
          <cell r="B63">
            <v>247.08</v>
          </cell>
          <cell r="C63">
            <v>9.1666679999999996</v>
          </cell>
          <cell r="F63">
            <v>-4.9605089379262279E-2</v>
          </cell>
          <cell r="J63">
            <v>2.8125853555458283E-2</v>
          </cell>
        </row>
        <row r="64">
          <cell r="B64">
            <v>277.72000000000003</v>
          </cell>
          <cell r="C64">
            <v>10.220096</v>
          </cell>
          <cell r="F64">
            <v>8.2235958434841674E-2</v>
          </cell>
          <cell r="J64">
            <v>0.14382285179475657</v>
          </cell>
        </row>
        <row r="65">
          <cell r="B65">
            <v>353.4</v>
          </cell>
          <cell r="C65">
            <v>11.73288</v>
          </cell>
          <cell r="F65">
            <v>0.17693647159446219</v>
          </cell>
          <cell r="J65">
            <v>0.15948974901357249</v>
          </cell>
        </row>
        <row r="66">
          <cell r="B66">
            <v>330.22</v>
          </cell>
          <cell r="C66">
            <v>12.350228</v>
          </cell>
          <cell r="F66">
            <v>6.2353753335533363E-2</v>
          </cell>
          <cell r="J66">
            <v>6.2807165619478592E-2</v>
          </cell>
        </row>
        <row r="67">
          <cell r="B67">
            <v>417.09</v>
          </cell>
          <cell r="C67">
            <v>12.971499</v>
          </cell>
          <cell r="F67">
            <v>0.15004510019517303</v>
          </cell>
          <cell r="J67">
            <v>0.18928042873950041</v>
          </cell>
        </row>
        <row r="68">
          <cell r="B68">
            <v>435.71</v>
          </cell>
          <cell r="C68">
            <v>12.635590000000001</v>
          </cell>
          <cell r="F68">
            <v>9.3616373162079422E-2</v>
          </cell>
          <cell r="J68">
            <v>0.11305244549445928</v>
          </cell>
        </row>
        <row r="69">
          <cell r="B69">
            <v>466.45</v>
          </cell>
          <cell r="C69">
            <v>12.68744</v>
          </cell>
          <cell r="F69">
            <v>0.14210957589263107</v>
          </cell>
          <cell r="J69">
            <v>0.15472450683005834</v>
          </cell>
        </row>
        <row r="70">
          <cell r="B70">
            <v>459.27</v>
          </cell>
          <cell r="C70">
            <v>13.364757000000001</v>
          </cell>
          <cell r="F70">
            <v>-8.0366555509985921E-2</v>
          </cell>
          <cell r="J70">
            <v>-9.6826953788543557E-3</v>
          </cell>
        </row>
        <row r="71">
          <cell r="B71">
            <v>615.92999999999995</v>
          </cell>
          <cell r="C71">
            <v>14.16639</v>
          </cell>
          <cell r="F71">
            <v>0.23480780112538907</v>
          </cell>
          <cell r="J71">
            <v>0.21287256523842943</v>
          </cell>
        </row>
        <row r="72">
          <cell r="B72">
            <v>740.74</v>
          </cell>
          <cell r="C72">
            <v>14.888873999999999</v>
          </cell>
          <cell r="F72">
            <v>1.428607793401844E-2</v>
          </cell>
          <cell r="J72">
            <v>3.4156893562299034E-2</v>
          </cell>
        </row>
        <row r="73">
          <cell r="B73">
            <v>970.43</v>
          </cell>
          <cell r="C73">
            <v>15.522</v>
          </cell>
          <cell r="F73">
            <v>9.939130272977531E-2</v>
          </cell>
          <cell r="J73">
            <v>0.12754162725001839</v>
          </cell>
        </row>
        <row r="74">
          <cell r="B74">
            <v>1229.23</v>
          </cell>
          <cell r="C74">
            <v>16.2</v>
          </cell>
          <cell r="F74">
            <v>0.14921431922606215</v>
          </cell>
          <cell r="J74">
            <v>7.6274756292817242E-2</v>
          </cell>
        </row>
        <row r="75">
          <cell r="B75">
            <v>1469.25</v>
          </cell>
          <cell r="C75">
            <v>16.709</v>
          </cell>
          <cell r="F75">
            <v>-8.2542147962685761E-2</v>
          </cell>
          <cell r="J75">
            <v>9.0685450376237486E-3</v>
          </cell>
        </row>
        <row r="76">
          <cell r="B76">
            <v>1320.28</v>
          </cell>
          <cell r="C76">
            <v>16.27</v>
          </cell>
          <cell r="F76">
            <v>0.16655267125397488</v>
          </cell>
          <cell r="J76">
            <v>9.3878146518094577E-2</v>
          </cell>
        </row>
        <row r="77">
          <cell r="B77">
            <v>1148.0899999999999</v>
          </cell>
          <cell r="C77">
            <v>15.74</v>
          </cell>
          <cell r="F77">
            <v>5.5721811892492555E-2</v>
          </cell>
          <cell r="J77">
            <v>8.5387489183019236E-2</v>
          </cell>
        </row>
        <row r="78">
          <cell r="B78">
            <v>879.82</v>
          </cell>
          <cell r="C78">
            <v>16.079999999999998</v>
          </cell>
          <cell r="F78">
            <v>0.15116400378109285</v>
          </cell>
          <cell r="J78">
            <v>0.12143658327667134</v>
          </cell>
        </row>
        <row r="79">
          <cell r="B79">
            <v>1111.9100000000001</v>
          </cell>
          <cell r="C79">
            <v>17.39</v>
          </cell>
          <cell r="F79">
            <v>3.7531858817758529E-3</v>
          </cell>
          <cell r="J79">
            <v>0.12316378506833342</v>
          </cell>
        </row>
        <row r="80">
          <cell r="B80">
            <v>1211.92</v>
          </cell>
          <cell r="C80">
            <v>19.440000000000001</v>
          </cell>
          <cell r="F80">
            <v>4.490683702274547E-2</v>
          </cell>
          <cell r="J80">
            <v>0.10345924468934715</v>
          </cell>
        </row>
        <row r="81">
          <cell r="B81">
            <v>1248.29</v>
          </cell>
          <cell r="C81">
            <v>22.22</v>
          </cell>
          <cell r="F81">
            <v>2.8675329597779506E-2</v>
          </cell>
          <cell r="J81">
            <v>5.2983848835185088E-2</v>
          </cell>
        </row>
        <row r="82">
          <cell r="B82">
            <v>1418.3</v>
          </cell>
          <cell r="C82">
            <v>24.88</v>
          </cell>
          <cell r="F82">
            <v>1.9610012417568386E-2</v>
          </cell>
          <cell r="J82">
            <v>5.1964610076620635E-2</v>
          </cell>
        </row>
        <row r="83">
          <cell r="B83">
            <v>1468.36</v>
          </cell>
          <cell r="C83">
            <v>27.73</v>
          </cell>
          <cell r="F83">
            <v>0.10209921930012807</v>
          </cell>
          <cell r="J83">
            <v>4.8445754357525184E-2</v>
          </cell>
        </row>
        <row r="84">
          <cell r="B84">
            <v>903.25</v>
          </cell>
          <cell r="C84">
            <v>28.39</v>
          </cell>
          <cell r="F84">
            <v>0.20101279926977011</v>
          </cell>
          <cell r="J84">
            <v>-3.540309867144642E-2</v>
          </cell>
        </row>
        <row r="85">
          <cell r="B85">
            <v>1115.0999999999999</v>
          </cell>
          <cell r="C85">
            <v>22.41</v>
          </cell>
          <cell r="F85">
            <v>-0.11116695313259162</v>
          </cell>
          <cell r="J85">
            <v>0.20209649577883115</v>
          </cell>
        </row>
        <row r="86">
          <cell r="B86">
            <v>1257.6400000000001</v>
          </cell>
          <cell r="C86">
            <v>22.73</v>
          </cell>
          <cell r="F86">
            <v>8.4629338803557719E-2</v>
          </cell>
          <cell r="J86">
            <v>9.4104971085132647E-2</v>
          </cell>
        </row>
        <row r="87">
          <cell r="B87">
            <v>1257.5999999999999</v>
          </cell>
          <cell r="C87">
            <v>26.43</v>
          </cell>
          <cell r="F87">
            <v>0.16035334999461354</v>
          </cell>
          <cell r="J87">
            <v>0.12262911319384322</v>
          </cell>
        </row>
        <row r="88">
          <cell r="B88">
            <v>1426.19</v>
          </cell>
          <cell r="C88">
            <v>31.25</v>
          </cell>
          <cell r="F88">
            <v>2.971571978018946E-2</v>
          </cell>
          <cell r="J88">
            <v>9.3270633454791169E-2</v>
          </cell>
        </row>
        <row r="89">
          <cell r="B89">
            <v>1848.36</v>
          </cell>
          <cell r="C89">
            <v>36.28</v>
          </cell>
          <cell r="F89">
            <v>-9.104568794347262E-2</v>
          </cell>
          <cell r="J89">
            <v>-9.8278909816801388E-3</v>
          </cell>
        </row>
        <row r="90">
          <cell r="B90">
            <v>2058.9</v>
          </cell>
          <cell r="C90">
            <v>39.44</v>
          </cell>
          <cell r="F90">
            <v>0.10746180452004755</v>
          </cell>
          <cell r="J90">
            <v>0.10781775226724913</v>
          </cell>
        </row>
        <row r="91">
          <cell r="B91">
            <v>2043.9</v>
          </cell>
          <cell r="C91">
            <v>43.39</v>
          </cell>
          <cell r="F91">
            <v>1.2842996709792224E-2</v>
          </cell>
          <cell r="J91">
            <v>-1.5008531794429472E-2</v>
          </cell>
        </row>
        <row r="92">
          <cell r="B92">
            <v>2238.83</v>
          </cell>
          <cell r="C92">
            <v>45.7</v>
          </cell>
          <cell r="F92">
            <v>6.9055046987477921E-3</v>
          </cell>
          <cell r="J92">
            <v>0.115244739105062</v>
          </cell>
        </row>
        <row r="93">
          <cell r="B93">
            <v>2673.61</v>
          </cell>
          <cell r="C93">
            <v>48.93</v>
          </cell>
          <cell r="F93">
            <v>2.8017162707789457E-2</v>
          </cell>
          <cell r="J93">
            <v>9.2339050572547543E-2</v>
          </cell>
        </row>
        <row r="94">
          <cell r="B94">
            <v>2506.85</v>
          </cell>
          <cell r="C94">
            <v>53.75</v>
          </cell>
          <cell r="F94">
            <v>-1.6692385713402633E-4</v>
          </cell>
          <cell r="J94">
            <v>-3.2694196838362347E-2</v>
          </cell>
        </row>
        <row r="95">
          <cell r="B95">
            <v>3230.78</v>
          </cell>
          <cell r="C95">
            <v>58.5</v>
          </cell>
          <cell r="F95">
            <v>9.6356307415483927E-2</v>
          </cell>
          <cell r="J95">
            <v>0.15247765775278477</v>
          </cell>
        </row>
        <row r="96">
          <cell r="B96">
            <v>3756.07</v>
          </cell>
          <cell r="C96">
            <v>57</v>
          </cell>
          <cell r="F96">
            <v>0.1133189764661412</v>
          </cell>
          <cell r="J96">
            <v>0.10601187472880466</v>
          </cell>
        </row>
        <row r="97">
          <cell r="B97">
            <v>4766.18</v>
          </cell>
          <cell r="C97">
            <v>59.2</v>
          </cell>
          <cell r="F97">
            <v>-4.416034448604475E-2</v>
          </cell>
          <cell r="J97">
            <v>9.3344457198752777E-3</v>
          </cell>
        </row>
        <row r="98">
          <cell r="B98">
            <v>3839.5</v>
          </cell>
          <cell r="C98">
            <v>66.98</v>
          </cell>
          <cell r="F98">
            <v>-0.1782817153825067</v>
          </cell>
          <cell r="J98">
            <v>-0.15144078553554258</v>
          </cell>
        </row>
        <row r="99">
          <cell r="B99">
            <v>4769.8</v>
          </cell>
          <cell r="C99">
            <v>70.3</v>
          </cell>
          <cell r="F99">
            <v>3.8800000000000001E-2</v>
          </cell>
          <cell r="J99">
            <v>8.7356722013658433E-2</v>
          </cell>
        </row>
        <row r="100">
          <cell r="B100">
            <v>5881.63</v>
          </cell>
          <cell r="C100">
            <v>74.83</v>
          </cell>
          <cell r="F100">
            <v>-1.6371801436629807E-2</v>
          </cell>
          <cell r="J100">
            <v>1.7363556037785111E-2</v>
          </cell>
        </row>
      </sheetData>
      <sheetData sheetId="3">
        <row r="2">
          <cell r="B2">
            <v>0.59909999999999997</v>
          </cell>
        </row>
        <row r="3">
          <cell r="B3">
            <v>-0.46610000000000001</v>
          </cell>
        </row>
        <row r="4">
          <cell r="B4">
            <v>-0.50029999999999997</v>
          </cell>
        </row>
        <row r="5">
          <cell r="B5">
            <v>-0.44659999999999994</v>
          </cell>
        </row>
        <row r="6">
          <cell r="B6">
            <v>0.20489999999999997</v>
          </cell>
        </row>
        <row r="7">
          <cell r="B7">
            <v>1.4834000000000001</v>
          </cell>
        </row>
        <row r="8">
          <cell r="B8">
            <v>0.20010000000000003</v>
          </cell>
        </row>
        <row r="9">
          <cell r="B9">
            <v>0.53180000000000005</v>
          </cell>
        </row>
        <row r="10">
          <cell r="B10">
            <v>0.92819999999999991</v>
          </cell>
        </row>
        <row r="11">
          <cell r="B11">
            <v>-0.53280000000000005</v>
          </cell>
        </row>
        <row r="12">
          <cell r="B12">
            <v>1.6E-2</v>
          </cell>
        </row>
        <row r="13">
          <cell r="B13">
            <v>-5.7300000000000004E-2</v>
          </cell>
        </row>
        <row r="14">
          <cell r="B14">
            <v>-0.31809999999999999</v>
          </cell>
        </row>
        <row r="15">
          <cell r="B15">
            <v>-5.5399999999999998E-2</v>
          </cell>
        </row>
        <row r="16">
          <cell r="B16">
            <v>0.6179</v>
          </cell>
        </row>
        <row r="17">
          <cell r="B17">
            <v>1.3796999999999999</v>
          </cell>
        </row>
        <row r="18">
          <cell r="B18">
            <v>0.69730000000000003</v>
          </cell>
        </row>
        <row r="19">
          <cell r="B19">
            <v>0.91090000000000004</v>
          </cell>
        </row>
        <row r="20">
          <cell r="B20">
            <v>-0.1532</v>
          </cell>
        </row>
        <row r="21">
          <cell r="B21">
            <v>-9.5999999999999992E-3</v>
          </cell>
        </row>
        <row r="22">
          <cell r="B22">
            <v>-7.0999999999999995E-3</v>
          </cell>
        </row>
        <row r="23">
          <cell r="B23">
            <v>0.2722</v>
          </cell>
        </row>
        <row r="24">
          <cell r="B24">
            <v>0.52780000000000005</v>
          </cell>
        </row>
        <row r="25">
          <cell r="B25">
            <v>3.9199999999999999E-2</v>
          </cell>
        </row>
        <row r="26">
          <cell r="B26">
            <v>1.1899999999999999E-2</v>
          </cell>
        </row>
        <row r="27">
          <cell r="B27">
            <v>-5.7999999999999996E-2</v>
          </cell>
        </row>
        <row r="28">
          <cell r="B28">
            <v>0.63900000000000001</v>
          </cell>
        </row>
        <row r="29">
          <cell r="B29">
            <v>0.27089999999999997</v>
          </cell>
        </row>
        <row r="30">
          <cell r="B30">
            <v>-9.8999999999999991E-3</v>
          </cell>
        </row>
        <row r="31">
          <cell r="B31">
            <v>-0.1525</v>
          </cell>
        </row>
        <row r="32">
          <cell r="B32">
            <v>0.69349999999999989</v>
          </cell>
        </row>
        <row r="33">
          <cell r="B33">
            <v>0.12740000000000001</v>
          </cell>
        </row>
        <row r="34">
          <cell r="B34">
            <v>-3.49E-2</v>
          </cell>
        </row>
        <row r="35">
          <cell r="B35">
            <v>0.29830000000000001</v>
          </cell>
        </row>
        <row r="36">
          <cell r="B36">
            <v>-9.7599999999999992E-2</v>
          </cell>
        </row>
        <row r="37">
          <cell r="B37">
            <v>0.1993</v>
          </cell>
        </row>
        <row r="38">
          <cell r="B38">
            <v>0.23149999999999998</v>
          </cell>
        </row>
        <row r="39">
          <cell r="B39">
            <v>0.45659999999999995</v>
          </cell>
        </row>
        <row r="40">
          <cell r="B40">
            <v>-9.4899999999999998E-2</v>
          </cell>
        </row>
        <row r="41">
          <cell r="B41">
            <v>1.1679000000000002</v>
          </cell>
        </row>
        <row r="42">
          <cell r="B42">
            <v>0.60699999999999998</v>
          </cell>
        </row>
        <row r="43">
          <cell r="B43">
            <v>-0.33049999999999996</v>
          </cell>
        </row>
        <row r="44">
          <cell r="B44">
            <v>-0.19</v>
          </cell>
        </row>
        <row r="45">
          <cell r="B45">
            <v>0.16489999999999999</v>
          </cell>
        </row>
        <row r="46">
          <cell r="B46">
            <v>2.5999999999999999E-3</v>
          </cell>
        </row>
        <row r="47">
          <cell r="B47">
            <v>-0.38630000000000003</v>
          </cell>
        </row>
        <row r="48">
          <cell r="B48">
            <v>-0.2681</v>
          </cell>
        </row>
        <row r="49">
          <cell r="B49">
            <v>0.59350000000000003</v>
          </cell>
        </row>
        <row r="50">
          <cell r="B50">
            <v>0.48509999999999998</v>
          </cell>
        </row>
        <row r="51">
          <cell r="B51">
            <v>0.30670000000000003</v>
          </cell>
        </row>
        <row r="52">
          <cell r="B52">
            <v>0.29320000000000002</v>
          </cell>
        </row>
        <row r="53">
          <cell r="B53">
            <v>0.41969999999999996</v>
          </cell>
        </row>
        <row r="54">
          <cell r="B54">
            <v>0.42409999999999998</v>
          </cell>
        </row>
        <row r="55">
          <cell r="B55">
            <v>-4.1399999999999999E-2</v>
          </cell>
        </row>
        <row r="56">
          <cell r="B56">
            <v>0.27110000000000001</v>
          </cell>
        </row>
        <row r="57">
          <cell r="B57">
            <v>0.35859999999999997</v>
          </cell>
        </row>
        <row r="58">
          <cell r="B58">
            <v>-0.1452</v>
          </cell>
        </row>
        <row r="59">
          <cell r="B59">
            <v>0.25140000000000001</v>
          </cell>
        </row>
        <row r="60">
          <cell r="B60">
            <v>2.1600000000000001E-2</v>
          </cell>
        </row>
        <row r="61">
          <cell r="B61">
            <v>-0.14029999999999998</v>
          </cell>
        </row>
        <row r="62">
          <cell r="B62">
            <v>0.17370000000000002</v>
          </cell>
        </row>
        <row r="63">
          <cell r="B63">
            <v>6.9500000000000006E-2</v>
          </cell>
        </row>
        <row r="64">
          <cell r="B64">
            <v>-0.2792</v>
          </cell>
        </row>
        <row r="65">
          <cell r="B65">
            <v>0.46270000000000006</v>
          </cell>
        </row>
        <row r="66">
          <cell r="B66">
            <v>0.25509999999999999</v>
          </cell>
        </row>
        <row r="67">
          <cell r="B67">
            <v>0.25730000000000003</v>
          </cell>
        </row>
        <row r="68">
          <cell r="B68">
            <v>-5.0099999999999999E-2</v>
          </cell>
        </row>
        <row r="69">
          <cell r="B69">
            <v>0.32270000000000004</v>
          </cell>
        </row>
        <row r="70">
          <cell r="B70">
            <v>0.14630000000000001</v>
          </cell>
        </row>
        <row r="71">
          <cell r="B71">
            <v>0.22170000000000001</v>
          </cell>
        </row>
        <row r="72">
          <cell r="B72">
            <v>-0.1346</v>
          </cell>
        </row>
        <row r="73">
          <cell r="B73">
            <v>0.38240000000000002</v>
          </cell>
        </row>
        <row r="74">
          <cell r="B74">
            <v>-9.2899999999999996E-2</v>
          </cell>
        </row>
        <row r="75">
          <cell r="B75">
            <v>0.32140000000000002</v>
          </cell>
        </row>
        <row r="76">
          <cell r="B76">
            <v>-3.5799999999999998E-2</v>
          </cell>
        </row>
        <row r="77">
          <cell r="B77">
            <v>0.91909999999999992</v>
          </cell>
        </row>
        <row r="78">
          <cell r="B78">
            <v>0.17489999999999997</v>
          </cell>
        </row>
        <row r="79">
          <cell r="B79">
            <v>3.9300000000000002E-2</v>
          </cell>
        </row>
        <row r="80">
          <cell r="B80">
            <v>0.18469999999999998</v>
          </cell>
        </row>
        <row r="81">
          <cell r="B81">
            <v>-9.1499999999999998E-2</v>
          </cell>
        </row>
        <row r="82">
          <cell r="B82">
            <v>-0.44840000000000002</v>
          </cell>
        </row>
        <row r="83">
          <cell r="B83">
            <v>0.47479999999999994</v>
          </cell>
        </row>
        <row r="84">
          <cell r="B84">
            <v>0.28239999999999998</v>
          </cell>
        </row>
        <row r="85">
          <cell r="B85">
            <v>-0.14150000000000001</v>
          </cell>
        </row>
        <row r="86">
          <cell r="B86">
            <v>0.18729999999999999</v>
          </cell>
        </row>
        <row r="87">
          <cell r="B87">
            <v>0.50680000000000003</v>
          </cell>
        </row>
        <row r="88">
          <cell r="B88">
            <v>1.5900000000000001E-2</v>
          </cell>
        </row>
        <row r="89">
          <cell r="B89">
            <v>-9.2100000000000015E-2</v>
          </cell>
        </row>
        <row r="90">
          <cell r="B90">
            <v>0.17499999999999999</v>
          </cell>
        </row>
        <row r="91">
          <cell r="B91">
            <v>0.1547</v>
          </cell>
        </row>
        <row r="92">
          <cell r="B92">
            <v>-0.16260000000000002</v>
          </cell>
        </row>
        <row r="93">
          <cell r="B93">
            <v>0.12269999999999999</v>
          </cell>
        </row>
        <row r="94">
          <cell r="B94">
            <v>0.34729999999999994</v>
          </cell>
        </row>
        <row r="95">
          <cell r="B95">
            <v>0.21690000000000001</v>
          </cell>
        </row>
        <row r="96">
          <cell r="B96">
            <v>-0.23379999999999998</v>
          </cell>
        </row>
        <row r="97">
          <cell r="B97">
            <v>5.1699999999999996E-2</v>
          </cell>
        </row>
        <row r="98">
          <cell r="B98">
            <v>8.6199999999999999E-2</v>
          </cell>
        </row>
      </sheetData>
      <sheetData sheetId="4"/>
      <sheetData sheetId="5">
        <row r="12">
          <cell r="C12">
            <v>2.7833333333333334E-3</v>
          </cell>
        </row>
        <row r="13">
          <cell r="C13">
            <v>1.6750000000000001E-3</v>
          </cell>
        </row>
        <row r="14">
          <cell r="C14">
            <v>1.725E-3</v>
          </cell>
        </row>
        <row r="15">
          <cell r="C15">
            <v>2.7583333333333331E-3</v>
          </cell>
        </row>
        <row r="16">
          <cell r="C16">
            <v>6.4999999999999997E-4</v>
          </cell>
        </row>
        <row r="17">
          <cell r="C17">
            <v>4.5833333333333332E-4</v>
          </cell>
        </row>
        <row r="18">
          <cell r="C18">
            <v>3.5833333333333333E-4</v>
          </cell>
        </row>
        <row r="19">
          <cell r="C19">
            <v>1.2916666666666669E-3</v>
          </cell>
        </row>
        <row r="20">
          <cell r="C20">
            <v>3.4250000000000001E-3</v>
          </cell>
        </row>
        <row r="21">
          <cell r="C21">
            <v>3.8E-3</v>
          </cell>
        </row>
        <row r="22">
          <cell r="C22">
            <v>3.8E-3</v>
          </cell>
        </row>
        <row r="23">
          <cell r="C23">
            <v>3.8E-3</v>
          </cell>
        </row>
        <row r="24">
          <cell r="C24">
            <v>3.8E-3</v>
          </cell>
        </row>
        <row r="25">
          <cell r="C25">
            <v>6.0083333333333334E-3</v>
          </cell>
        </row>
        <row r="26">
          <cell r="C26">
            <v>1.0449999999999999E-2</v>
          </cell>
        </row>
        <row r="27">
          <cell r="C27">
            <v>1.115E-2</v>
          </cell>
        </row>
        <row r="28">
          <cell r="C28">
            <v>1.2033333333333333E-2</v>
          </cell>
        </row>
        <row r="29">
          <cell r="C29">
            <v>1.5175000000000001E-2</v>
          </cell>
        </row>
        <row r="30">
          <cell r="C30">
            <v>1.7225000000000001E-2</v>
          </cell>
        </row>
        <row r="31">
          <cell r="C31">
            <v>1.8908333333333333E-2</v>
          </cell>
        </row>
        <row r="32">
          <cell r="C32">
            <v>9.3752000000000002E-3</v>
          </cell>
        </row>
        <row r="33">
          <cell r="C33">
            <v>1.7243426294820716E-2</v>
          </cell>
        </row>
        <row r="34">
          <cell r="C34">
            <v>2.6213888888888887E-2</v>
          </cell>
        </row>
        <row r="35">
          <cell r="C35">
            <v>3.2245669291338583E-2</v>
          </cell>
        </row>
        <row r="36">
          <cell r="C36">
            <v>1.7665461847389558E-2</v>
          </cell>
        </row>
        <row r="37">
          <cell r="C37">
            <v>3.3860159362549803E-2</v>
          </cell>
        </row>
        <row r="38">
          <cell r="C38">
            <v>2.8729718875502006E-2</v>
          </cell>
        </row>
        <row r="39">
          <cell r="C39">
            <v>2.3524899598393576E-2</v>
          </cell>
        </row>
        <row r="40">
          <cell r="C40">
            <v>2.7723694779116466E-2</v>
          </cell>
        </row>
        <row r="41">
          <cell r="C41">
            <v>3.1560240963855422E-2</v>
          </cell>
        </row>
        <row r="42">
          <cell r="C42">
            <v>3.5457370517928286E-2</v>
          </cell>
        </row>
        <row r="43">
          <cell r="C43">
            <v>3.9490763052208833E-2</v>
          </cell>
        </row>
        <row r="44">
          <cell r="C44">
            <v>4.8557199999999995E-2</v>
          </cell>
        </row>
        <row r="45">
          <cell r="C45">
            <v>4.2934538152610439E-2</v>
          </cell>
        </row>
        <row r="46">
          <cell r="C46">
            <v>5.3376E-2</v>
          </cell>
        </row>
        <row r="47">
          <cell r="C47">
            <v>6.668467741935484E-2</v>
          </cell>
        </row>
        <row r="48">
          <cell r="C48">
            <v>6.3909999999999995E-2</v>
          </cell>
        </row>
        <row r="49">
          <cell r="C49">
            <v>4.3342570281124503E-2</v>
          </cell>
        </row>
        <row r="50">
          <cell r="C50">
            <v>4.0618399999999999E-2</v>
          </cell>
        </row>
        <row r="51">
          <cell r="C51">
            <v>7.0354435483870964E-2</v>
          </cell>
        </row>
        <row r="52">
          <cell r="C52">
            <v>7.8457831325301208E-2</v>
          </cell>
        </row>
        <row r="53">
          <cell r="C53">
            <v>5.7863855421686747E-2</v>
          </cell>
        </row>
        <row r="54">
          <cell r="C54">
            <v>4.9766000000000005E-2</v>
          </cell>
        </row>
        <row r="55">
          <cell r="C55">
            <v>5.2609638554216867E-2</v>
          </cell>
        </row>
        <row r="56">
          <cell r="C56">
            <v>7.1783064516129036E-2</v>
          </cell>
        </row>
        <row r="57">
          <cell r="C57">
            <v>0.10054274193548388</v>
          </cell>
        </row>
        <row r="58">
          <cell r="C58">
            <v>0.1139188</v>
          </cell>
        </row>
        <row r="59">
          <cell r="C59">
            <v>0.14036184738955823</v>
          </cell>
        </row>
        <row r="60">
          <cell r="C60">
            <v>0.10603413654618475</v>
          </cell>
        </row>
        <row r="61">
          <cell r="C61">
            <v>8.61764E-2</v>
          </cell>
        </row>
        <row r="62">
          <cell r="C62">
            <v>9.5402811244979929E-2</v>
          </cell>
        </row>
        <row r="63">
          <cell r="C63">
            <v>7.4711290322580642E-2</v>
          </cell>
        </row>
        <row r="64">
          <cell r="C64">
            <v>5.9692800000000004E-2</v>
          </cell>
        </row>
        <row r="65">
          <cell r="C65">
            <v>5.7773600000000001E-2</v>
          </cell>
        </row>
        <row r="66">
          <cell r="C66">
            <v>6.6684400000000005E-2</v>
          </cell>
        </row>
        <row r="67">
          <cell r="C67">
            <v>8.111560000000001E-2</v>
          </cell>
        </row>
        <row r="68">
          <cell r="C68">
            <v>7.4964799999999998E-2</v>
          </cell>
        </row>
        <row r="69">
          <cell r="C69">
            <v>5.3756000000000005E-2</v>
          </cell>
        </row>
        <row r="70">
          <cell r="C70">
            <v>3.4313147410358569E-2</v>
          </cell>
        </row>
        <row r="71">
          <cell r="C71">
            <v>2.9971199999999996E-2</v>
          </cell>
        </row>
        <row r="72">
          <cell r="C72">
            <v>4.2522489959839357E-2</v>
          </cell>
        </row>
        <row r="73">
          <cell r="C73">
            <v>5.4896E-2</v>
          </cell>
        </row>
        <row r="74">
          <cell r="C74">
            <v>5.005396825396826E-2</v>
          </cell>
        </row>
        <row r="75">
          <cell r="C75">
            <v>5.0620800000000001E-2</v>
          </cell>
        </row>
        <row r="76">
          <cell r="C76">
            <v>4.7759600000000006E-2</v>
          </cell>
        </row>
        <row r="77">
          <cell r="C77">
            <v>4.6384063745019917E-2</v>
          </cell>
        </row>
        <row r="78">
          <cell r="C78">
            <v>5.8198007968127491E-2</v>
          </cell>
        </row>
        <row r="79">
          <cell r="C79">
            <v>3.3993548387096777E-2</v>
          </cell>
        </row>
        <row r="80">
          <cell r="C80">
            <v>1.60532E-2</v>
          </cell>
        </row>
        <row r="81">
          <cell r="C81">
            <v>1.00836E-2</v>
          </cell>
        </row>
        <row r="82">
          <cell r="C82">
            <v>1.3746400000000001E-2</v>
          </cell>
        </row>
        <row r="83">
          <cell r="C83">
            <v>3.1491600000000002E-2</v>
          </cell>
        </row>
        <row r="84">
          <cell r="C84">
            <v>4.7300000000000002E-2</v>
          </cell>
        </row>
        <row r="85">
          <cell r="C85">
            <v>4.3619521912350592E-2</v>
          </cell>
        </row>
        <row r="86">
          <cell r="C86">
            <v>1.3713147410358567E-2</v>
          </cell>
        </row>
        <row r="87">
          <cell r="C87">
            <v>1.5051999999999999E-3</v>
          </cell>
        </row>
        <row r="88">
          <cell r="C88">
            <v>1.3844621513944221E-3</v>
          </cell>
        </row>
        <row r="89">
          <cell r="C89">
            <v>5.2839999999999994E-4</v>
          </cell>
        </row>
        <row r="90">
          <cell r="C90">
            <v>8.7599999999999993E-4</v>
          </cell>
        </row>
        <row r="91">
          <cell r="C91">
            <v>5.708E-4</v>
          </cell>
        </row>
        <row r="92">
          <cell r="C92">
            <v>3.2719999999999998E-4</v>
          </cell>
        </row>
        <row r="93">
          <cell r="C93">
            <v>5.2031872509960154E-4</v>
          </cell>
        </row>
        <row r="94">
          <cell r="C94">
            <v>3.1612000000000003E-3</v>
          </cell>
        </row>
        <row r="95">
          <cell r="C95">
            <v>9.3411999999999992E-3</v>
          </cell>
        </row>
        <row r="96">
          <cell r="C96">
            <v>1.936305220883534E-2</v>
          </cell>
        </row>
        <row r="97">
          <cell r="C97">
            <v>2.0624799999999999E-2</v>
          </cell>
        </row>
        <row r="98">
          <cell r="C98">
            <v>3.547410358565737E-3</v>
          </cell>
        </row>
        <row r="99">
          <cell r="C99">
            <v>4.5019920318725102E-4</v>
          </cell>
        </row>
        <row r="100">
          <cell r="C100">
            <v>2.0247791164658632E-2</v>
          </cell>
        </row>
        <row r="101">
          <cell r="C101">
            <v>5.0703614457831322E-2</v>
          </cell>
        </row>
        <row r="102">
          <cell r="C102">
            <v>4.9699999999999994E-2</v>
          </cell>
        </row>
      </sheetData>
      <sheetData sheetId="6">
        <row r="26">
          <cell r="C26">
            <v>-1.15607E-2</v>
          </cell>
        </row>
        <row r="27">
          <cell r="C27">
            <v>5.8479999999999999E-3</v>
          </cell>
        </row>
        <row r="28">
          <cell r="C28">
            <v>-6.3953499999999996E-2</v>
          </cell>
        </row>
        <row r="29">
          <cell r="C29">
            <v>-9.3167700000000006E-2</v>
          </cell>
        </row>
        <row r="30">
          <cell r="C30">
            <v>-0.1027397</v>
          </cell>
        </row>
        <row r="31">
          <cell r="C31">
            <v>7.6336000000000008E-3</v>
          </cell>
        </row>
        <row r="32">
          <cell r="C32">
            <v>1.51515E-2</v>
          </cell>
        </row>
        <row r="33">
          <cell r="C33">
            <v>2.9850699999999997E-2</v>
          </cell>
        </row>
        <row r="34">
          <cell r="C34">
            <v>1.4492799999999998E-2</v>
          </cell>
        </row>
        <row r="35">
          <cell r="C35">
            <v>2.8571399999999997E-2</v>
          </cell>
        </row>
        <row r="36">
          <cell r="C36">
            <v>-2.7777799999999998E-2</v>
          </cell>
        </row>
        <row r="37">
          <cell r="C37">
            <v>0</v>
          </cell>
        </row>
        <row r="38">
          <cell r="C38">
            <v>7.1428999999999998E-3</v>
          </cell>
        </row>
        <row r="39">
          <cell r="C39">
            <v>9.9290800000000012E-2</v>
          </cell>
        </row>
        <row r="40">
          <cell r="C40">
            <v>9.0322600000000003E-2</v>
          </cell>
        </row>
        <row r="41">
          <cell r="C41">
            <v>2.9585799999999999E-2</v>
          </cell>
        </row>
        <row r="42">
          <cell r="C42">
            <v>2.2988499999999999E-2</v>
          </cell>
        </row>
        <row r="43">
          <cell r="C43">
            <v>2.24719E-2</v>
          </cell>
        </row>
        <row r="44">
          <cell r="C44">
            <v>0.1813187</v>
          </cell>
        </row>
        <row r="45">
          <cell r="C45">
            <v>8.8372100000000009E-2</v>
          </cell>
        </row>
        <row r="46">
          <cell r="C46">
            <v>2.99145E-2</v>
          </cell>
        </row>
        <row r="47">
          <cell r="C47">
            <v>-2.0746899999999999E-2</v>
          </cell>
        </row>
        <row r="48">
          <cell r="C48">
            <v>5.9322E-2</v>
          </cell>
        </row>
        <row r="49">
          <cell r="C49">
            <v>0.06</v>
          </cell>
        </row>
        <row r="50">
          <cell r="C50">
            <v>7.5471999999999996E-3</v>
          </cell>
        </row>
        <row r="51">
          <cell r="C51">
            <v>7.4905999999999992E-3</v>
          </cell>
        </row>
        <row r="52">
          <cell r="C52">
            <v>-7.4348999999999995E-3</v>
          </cell>
        </row>
        <row r="53">
          <cell r="C53">
            <v>3.7452999999999996E-3</v>
          </cell>
        </row>
        <row r="54">
          <cell r="C54">
            <v>2.9850699999999997E-2</v>
          </cell>
        </row>
        <row r="55">
          <cell r="C55">
            <v>2.8985500000000001E-2</v>
          </cell>
        </row>
        <row r="56">
          <cell r="C56">
            <v>1.7605599999999999E-2</v>
          </cell>
        </row>
        <row r="57">
          <cell r="C57">
            <v>1.7301E-2</v>
          </cell>
        </row>
        <row r="58">
          <cell r="C58">
            <v>1.36054E-2</v>
          </cell>
        </row>
        <row r="59">
          <cell r="C59">
            <v>6.7113999999999993E-3</v>
          </cell>
        </row>
        <row r="60">
          <cell r="C60">
            <v>1.3333299999999999E-2</v>
          </cell>
        </row>
        <row r="61">
          <cell r="C61">
            <v>1.6447400000000001E-2</v>
          </cell>
        </row>
        <row r="62">
          <cell r="C62">
            <v>9.7087000000000007E-3</v>
          </cell>
        </row>
        <row r="63">
          <cell r="C63">
            <v>1.9230799999999999E-2</v>
          </cell>
        </row>
        <row r="64">
          <cell r="C64">
            <v>3.4591200000000003E-2</v>
          </cell>
        </row>
        <row r="65">
          <cell r="C65">
            <v>3.0395099999999998E-2</v>
          </cell>
        </row>
        <row r="66">
          <cell r="C66">
            <v>4.7197599999999999E-2</v>
          </cell>
        </row>
        <row r="67">
          <cell r="C67">
            <v>6.19718E-2</v>
          </cell>
        </row>
        <row r="68">
          <cell r="C68">
            <v>5.57029E-2</v>
          </cell>
        </row>
        <row r="69">
          <cell r="C69">
            <v>3.2663299999999999E-2</v>
          </cell>
        </row>
        <row r="70">
          <cell r="C70">
            <v>3.4063299999999998E-2</v>
          </cell>
        </row>
        <row r="71">
          <cell r="C71">
            <v>8.7058800000000006E-2</v>
          </cell>
        </row>
        <row r="72">
          <cell r="C72">
            <v>0.1233766</v>
          </cell>
        </row>
        <row r="73">
          <cell r="C73">
            <v>6.9364200000000001E-2</v>
          </cell>
        </row>
        <row r="74">
          <cell r="C74">
            <v>4.86486E-2</v>
          </cell>
        </row>
        <row r="75">
          <cell r="C75">
            <v>6.7010300000000009E-2</v>
          </cell>
        </row>
        <row r="76">
          <cell r="C76">
            <v>9.0177099999999996E-2</v>
          </cell>
        </row>
        <row r="77">
          <cell r="C77">
            <v>0.13293939999999999</v>
          </cell>
        </row>
        <row r="78">
          <cell r="C78">
            <v>0.125163</v>
          </cell>
        </row>
        <row r="79">
          <cell r="C79">
            <v>8.92236E-2</v>
          </cell>
        </row>
        <row r="80">
          <cell r="C80">
            <v>3.8297900000000003E-2</v>
          </cell>
        </row>
        <row r="81">
          <cell r="C81">
            <v>3.79098E-2</v>
          </cell>
        </row>
        <row r="82">
          <cell r="C82">
            <v>3.94867E-2</v>
          </cell>
        </row>
        <row r="83">
          <cell r="C83">
            <v>3.7986699999999998E-2</v>
          </cell>
        </row>
        <row r="84">
          <cell r="C84">
            <v>1.0979000000000001E-2</v>
          </cell>
        </row>
        <row r="85">
          <cell r="C85">
            <v>4.4343899999999999E-2</v>
          </cell>
        </row>
        <row r="86">
          <cell r="C86">
            <v>4.41941E-2</v>
          </cell>
        </row>
        <row r="87">
          <cell r="C87">
            <v>4.6473000000000007E-2</v>
          </cell>
        </row>
        <row r="88">
          <cell r="C88">
            <v>6.1062599999999995E-2</v>
          </cell>
        </row>
        <row r="89">
          <cell r="C89">
            <v>3.0642800000000001E-2</v>
          </cell>
        </row>
        <row r="90">
          <cell r="C90">
            <v>2.9006500000000001E-2</v>
          </cell>
        </row>
        <row r="91">
          <cell r="C91">
            <v>2.7484099999999997E-2</v>
          </cell>
        </row>
        <row r="92">
          <cell r="C92">
            <v>2.6749000000000002E-2</v>
          </cell>
        </row>
        <row r="93">
          <cell r="C93">
            <v>2.53841E-2</v>
          </cell>
        </row>
        <row r="94">
          <cell r="C94">
            <v>3.3224799999999999E-2</v>
          </cell>
        </row>
        <row r="95">
          <cell r="C95">
            <v>1.7023999999999997E-2</v>
          </cell>
        </row>
        <row r="96">
          <cell r="C96">
            <v>1.6119000000000001E-2</v>
          </cell>
        </row>
        <row r="97">
          <cell r="C97">
            <v>2.6845599999999997E-2</v>
          </cell>
        </row>
        <row r="98">
          <cell r="C98">
            <v>3.3868099999999998E-2</v>
          </cell>
        </row>
        <row r="99">
          <cell r="C99">
            <v>1.55172E-2</v>
          </cell>
        </row>
        <row r="100">
          <cell r="C100">
            <v>2.3769100000000001E-2</v>
          </cell>
        </row>
        <row r="101">
          <cell r="C101">
            <v>1.87949E-2</v>
          </cell>
        </row>
        <row r="102">
          <cell r="C102">
            <v>3.2555599999999997E-2</v>
          </cell>
        </row>
        <row r="103">
          <cell r="C103">
            <v>3.4156600000000002E-2</v>
          </cell>
        </row>
        <row r="104">
          <cell r="C104">
            <v>2.5406499999999999E-2</v>
          </cell>
        </row>
        <row r="105">
          <cell r="C105">
            <v>4.08127E-2</v>
          </cell>
        </row>
        <row r="106">
          <cell r="C106">
            <v>9.1410000000000005E-4</v>
          </cell>
        </row>
        <row r="107">
          <cell r="C107">
            <v>2.7213299999999999E-2</v>
          </cell>
        </row>
        <row r="108">
          <cell r="C108">
            <v>1.4957199999999999E-2</v>
          </cell>
        </row>
        <row r="109">
          <cell r="C109">
            <v>2.96242E-2</v>
          </cell>
        </row>
        <row r="110">
          <cell r="C110">
            <v>1.7410200000000001E-2</v>
          </cell>
        </row>
        <row r="111">
          <cell r="C111">
            <v>1.50174E-2</v>
          </cell>
        </row>
        <row r="112">
          <cell r="C112">
            <v>7.5649000000000003E-3</v>
          </cell>
        </row>
        <row r="113">
          <cell r="C113">
            <v>7.2951999999999991E-3</v>
          </cell>
        </row>
        <row r="114">
          <cell r="C114">
            <v>2.0746199999999999E-2</v>
          </cell>
        </row>
        <row r="115">
          <cell r="C115">
            <v>2.10908E-2</v>
          </cell>
        </row>
        <row r="116">
          <cell r="C116">
            <v>1.91016E-2</v>
          </cell>
        </row>
        <row r="117">
          <cell r="C117">
            <v>2.2851300000000001E-2</v>
          </cell>
        </row>
        <row r="118">
          <cell r="C118">
            <v>1.36201E-2</v>
          </cell>
        </row>
        <row r="119">
          <cell r="C119">
            <v>7.036400000000001E-2</v>
          </cell>
        </row>
        <row r="120">
          <cell r="C120">
            <v>6.454399999999999E-2</v>
          </cell>
        </row>
        <row r="121">
          <cell r="C121">
            <v>3.3521200000000001E-2</v>
          </cell>
        </row>
        <row r="122">
          <cell r="C122">
            <v>2.75E-2</v>
          </cell>
        </row>
      </sheetData>
      <sheetData sheetId="7"/>
      <sheetData sheetId="8"/>
      <sheetData sheetId="9"/>
      <sheetData sheetId="10">
        <row r="3">
          <cell r="B3">
            <v>5.8379122759411635</v>
          </cell>
        </row>
        <row r="4">
          <cell r="B4">
            <v>5.9249586816460518</v>
          </cell>
        </row>
        <row r="5">
          <cell r="B5">
            <v>5.8030937136592087</v>
          </cell>
        </row>
        <row r="6">
          <cell r="B6">
            <v>5.5535606839718632</v>
          </cell>
        </row>
        <row r="7">
          <cell r="B7">
            <v>5.1009193743064447</v>
          </cell>
        </row>
        <row r="8">
          <cell r="B8">
            <v>4.5670347526497972</v>
          </cell>
        </row>
        <row r="9">
          <cell r="B9">
            <v>4.3929419412400215</v>
          </cell>
        </row>
        <row r="10">
          <cell r="B10">
            <v>4.5206100029405238</v>
          </cell>
        </row>
        <row r="11">
          <cell r="B11">
            <v>4.9620852592390055</v>
          </cell>
        </row>
        <row r="12">
          <cell r="B12">
            <v>5.1217950075748586</v>
          </cell>
        </row>
        <row r="13">
          <cell r="B13">
            <v>5.253086651224617</v>
          </cell>
        </row>
        <row r="14">
          <cell r="B14">
            <v>5.2071914121565737</v>
          </cell>
        </row>
        <row r="15">
          <cell r="B15">
            <v>5.1394142324802372</v>
          </cell>
        </row>
        <row r="16">
          <cell r="B16">
            <v>5.3093544985030841</v>
          </cell>
        </row>
        <row r="17">
          <cell r="B17">
            <v>4.8641848885954095</v>
          </cell>
        </row>
        <row r="18">
          <cell r="B18">
            <v>5.0263101758295807</v>
          </cell>
        </row>
        <row r="19">
          <cell r="B19">
            <v>5.6016347051995687</v>
          </cell>
        </row>
        <row r="20">
          <cell r="B20">
            <v>6.5306225473880071</v>
          </cell>
        </row>
        <row r="21">
          <cell r="B21">
            <v>7.2997585507171605</v>
          </cell>
        </row>
        <row r="22">
          <cell r="B22">
            <v>9.0591234118332888</v>
          </cell>
        </row>
        <row r="23">
          <cell r="B23">
            <v>10.985444637980221</v>
          </cell>
        </row>
        <row r="24">
          <cell r="B24">
            <v>11.211581706019819</v>
          </cell>
        </row>
        <row r="25">
          <cell r="B25">
            <v>11.221599087921668</v>
          </cell>
        </row>
        <row r="26">
          <cell r="B26">
            <v>11.630109342784282</v>
          </cell>
        </row>
        <row r="27">
          <cell r="B27">
            <v>12.333457433765126</v>
          </cell>
        </row>
        <row r="28">
          <cell r="B28">
            <v>12.876953685886688</v>
          </cell>
        </row>
        <row r="29">
          <cell r="B29">
            <v>14.359936883629192</v>
          </cell>
        </row>
        <row r="30">
          <cell r="B30">
            <v>14.492439184746878</v>
          </cell>
        </row>
        <row r="31">
          <cell r="B31">
            <v>14.492439184746878</v>
          </cell>
        </row>
        <row r="32">
          <cell r="B32">
            <v>14.624941485864563</v>
          </cell>
        </row>
        <row r="33">
          <cell r="B33">
            <v>15.022448389217621</v>
          </cell>
        </row>
        <row r="34">
          <cell r="B34">
            <v>15.121825115055884</v>
          </cell>
        </row>
        <row r="35">
          <cell r="B35">
            <v>15.138387902695596</v>
          </cell>
        </row>
        <row r="36">
          <cell r="B36">
            <v>15.25432741617357</v>
          </cell>
        </row>
        <row r="37">
          <cell r="B37">
            <v>15.403392504930968</v>
          </cell>
        </row>
        <row r="38">
          <cell r="B38">
            <v>15.453080867850097</v>
          </cell>
        </row>
        <row r="39">
          <cell r="B39">
            <v>15.784336620644313</v>
          </cell>
        </row>
        <row r="40">
          <cell r="B40">
            <v>15.983090072320842</v>
          </cell>
        </row>
        <row r="41">
          <cell r="B41">
            <v>16.248094674556214</v>
          </cell>
        </row>
        <row r="42">
          <cell r="B42">
            <v>16.446848126232741</v>
          </cell>
        </row>
        <row r="43">
          <cell r="B43">
            <v>16.827792241946089</v>
          </cell>
        </row>
        <row r="44">
          <cell r="B44">
            <v>17.523429322813939</v>
          </cell>
        </row>
        <row r="45">
          <cell r="B45">
            <v>18.749075608152534</v>
          </cell>
        </row>
        <row r="46">
          <cell r="B46">
            <v>20.289414858645628</v>
          </cell>
        </row>
        <row r="47">
          <cell r="B47">
            <v>21.150679815910586</v>
          </cell>
        </row>
        <row r="48">
          <cell r="B48">
            <v>21.780065746219595</v>
          </cell>
        </row>
        <row r="49">
          <cell r="B49">
            <v>22.525391190006577</v>
          </cell>
        </row>
        <row r="50">
          <cell r="B50">
            <v>24.794493096646942</v>
          </cell>
        </row>
        <row r="51">
          <cell r="B51">
            <v>26.474</v>
          </cell>
        </row>
        <row r="52">
          <cell r="B52">
            <v>28.638999999999999</v>
          </cell>
        </row>
        <row r="53">
          <cell r="B53">
            <v>32.835999999999999</v>
          </cell>
        </row>
        <row r="54">
          <cell r="B54">
            <v>37.999000000000002</v>
          </cell>
        </row>
        <row r="55">
          <cell r="B55">
            <v>43.220999999999997</v>
          </cell>
        </row>
        <row r="56">
          <cell r="B56">
            <v>46.417999999999999</v>
          </cell>
        </row>
        <row r="57">
          <cell r="B57">
            <v>48.783000000000001</v>
          </cell>
        </row>
        <row r="58">
          <cell r="B58">
            <v>49.058</v>
          </cell>
        </row>
        <row r="59">
          <cell r="B59">
            <v>51.387999999999998</v>
          </cell>
        </row>
        <row r="60">
          <cell r="B60">
            <v>53.792000000000002</v>
          </cell>
        </row>
        <row r="61">
          <cell r="B61">
            <v>57.811</v>
          </cell>
        </row>
        <row r="62">
          <cell r="B62">
            <v>63.368000000000002</v>
          </cell>
        </row>
        <row r="63">
          <cell r="B63">
            <v>68.341999999999899</v>
          </cell>
        </row>
        <row r="64">
          <cell r="B64">
            <v>73.277000000000001</v>
          </cell>
        </row>
        <row r="65">
          <cell r="B65">
            <v>76.497</v>
          </cell>
        </row>
        <row r="66">
          <cell r="B66">
            <v>75.971999999999895</v>
          </cell>
        </row>
        <row r="67">
          <cell r="B67">
            <v>75.843999999999895</v>
          </cell>
        </row>
        <row r="68">
          <cell r="B68">
            <v>76.463999999999899</v>
          </cell>
        </row>
        <row r="69">
          <cell r="B69">
            <v>78.113</v>
          </cell>
        </row>
        <row r="70">
          <cell r="B70">
            <v>80.078000000000003</v>
          </cell>
        </row>
        <row r="71">
          <cell r="B71">
            <v>81.513000000000005</v>
          </cell>
        </row>
        <row r="72">
          <cell r="B72">
            <v>83.489999999999895</v>
          </cell>
        </row>
        <row r="73">
          <cell r="B73">
            <v>86.8479999999999</v>
          </cell>
        </row>
        <row r="74">
          <cell r="B74">
            <v>92.442999999999898</v>
          </cell>
        </row>
        <row r="75">
          <cell r="B75">
            <v>99.542000000000002</v>
          </cell>
        </row>
        <row r="76">
          <cell r="B76">
            <v>108.792</v>
          </cell>
        </row>
        <row r="77">
          <cell r="B77">
            <v>116.05500000000001</v>
          </cell>
        </row>
        <row r="78">
          <cell r="B78">
            <v>127.150999999999</v>
          </cell>
        </row>
        <row r="79">
          <cell r="B79">
            <v>139.628999999999</v>
          </cell>
        </row>
        <row r="80">
          <cell r="B80">
            <v>158.671999999999</v>
          </cell>
        </row>
        <row r="81">
          <cell r="B81">
            <v>180.108</v>
          </cell>
        </row>
        <row r="82">
          <cell r="B82">
            <v>183.22900000000001</v>
          </cell>
        </row>
        <row r="83">
          <cell r="B83">
            <v>173.33599999999899</v>
          </cell>
        </row>
        <row r="84">
          <cell r="B84">
            <v>152.54399999999899</v>
          </cell>
        </row>
        <row r="85">
          <cell r="B85">
            <v>146.664999999999</v>
          </cell>
        </row>
        <row r="86">
          <cell r="B86">
            <v>140.626</v>
          </cell>
        </row>
        <row r="87">
          <cell r="B87">
            <v>135.16200000000001</v>
          </cell>
        </row>
        <row r="88">
          <cell r="B88">
            <v>143.860999999999</v>
          </cell>
        </row>
        <row r="89">
          <cell r="B89">
            <v>159.28100000000001</v>
          </cell>
        </row>
        <row r="90">
          <cell r="B90">
            <v>166.45400000000001</v>
          </cell>
        </row>
        <row r="91">
          <cell r="B91">
            <v>175.100999999999</v>
          </cell>
        </row>
        <row r="92">
          <cell r="B92">
            <v>184.390999999999</v>
          </cell>
        </row>
        <row r="93">
          <cell r="B93">
            <v>195.83600000000001</v>
          </cell>
        </row>
        <row r="94">
          <cell r="B94">
            <v>204.682999999999</v>
          </cell>
        </row>
        <row r="95">
          <cell r="B95">
            <v>212.225999999999</v>
          </cell>
        </row>
        <row r="96">
          <cell r="B96">
            <v>234.35400000000001</v>
          </cell>
        </row>
        <row r="97">
          <cell r="B97">
            <v>278.56400000000002</v>
          </cell>
        </row>
        <row r="98">
          <cell r="B98">
            <v>294.30799999999903</v>
          </cell>
        </row>
        <row r="99">
          <cell r="B99">
            <v>311.01999999999902</v>
          </cell>
        </row>
        <row r="100">
          <cell r="B100">
            <v>324.22000000000003</v>
          </cell>
        </row>
      </sheetData>
      <sheetData sheetId="11">
        <row r="2">
          <cell r="B2">
            <v>20.64</v>
          </cell>
        </row>
        <row r="3">
          <cell r="B3">
            <v>20.66</v>
          </cell>
        </row>
        <row r="4">
          <cell r="B4">
            <v>20.63</v>
          </cell>
        </row>
        <row r="5">
          <cell r="B5">
            <v>20.65</v>
          </cell>
        </row>
        <row r="6">
          <cell r="B6">
            <v>17.059999999999999</v>
          </cell>
        </row>
        <row r="7">
          <cell r="B7">
            <v>20.69</v>
          </cell>
        </row>
        <row r="8">
          <cell r="B8">
            <v>26.33</v>
          </cell>
        </row>
        <row r="9">
          <cell r="B9">
            <v>34.69</v>
          </cell>
        </row>
        <row r="10">
          <cell r="B10">
            <v>34.840000000000003</v>
          </cell>
        </row>
        <row r="11">
          <cell r="B11">
            <v>34.869999999999997</v>
          </cell>
        </row>
        <row r="12">
          <cell r="B12">
            <v>34.79</v>
          </cell>
        </row>
        <row r="13">
          <cell r="B13">
            <v>34.85</v>
          </cell>
        </row>
        <row r="14">
          <cell r="B14">
            <v>34.42</v>
          </cell>
        </row>
        <row r="15">
          <cell r="B15">
            <v>33.85</v>
          </cell>
        </row>
        <row r="16">
          <cell r="B16">
            <v>33.85</v>
          </cell>
        </row>
        <row r="17">
          <cell r="B17">
            <v>33.85</v>
          </cell>
        </row>
        <row r="18">
          <cell r="B18">
            <v>33.85</v>
          </cell>
        </row>
        <row r="19">
          <cell r="B19">
            <v>33.85</v>
          </cell>
        </row>
        <row r="20">
          <cell r="B20">
            <v>34.71</v>
          </cell>
        </row>
        <row r="21">
          <cell r="B21">
            <v>34.71</v>
          </cell>
        </row>
        <row r="22">
          <cell r="B22">
            <v>34.71</v>
          </cell>
        </row>
        <row r="23">
          <cell r="B23">
            <v>34.71</v>
          </cell>
        </row>
        <row r="24">
          <cell r="B24">
            <v>31.69</v>
          </cell>
        </row>
        <row r="25">
          <cell r="B25">
            <v>34.72</v>
          </cell>
        </row>
        <row r="26">
          <cell r="B26">
            <v>34.72</v>
          </cell>
        </row>
        <row r="27">
          <cell r="B27">
            <v>34.6</v>
          </cell>
        </row>
        <row r="28">
          <cell r="B28">
            <v>34.840000000000003</v>
          </cell>
        </row>
        <row r="29">
          <cell r="B29">
            <v>35.04</v>
          </cell>
        </row>
        <row r="30">
          <cell r="B30">
            <v>35.03</v>
          </cell>
        </row>
        <row r="31">
          <cell r="B31">
            <v>34.99</v>
          </cell>
        </row>
        <row r="32">
          <cell r="B32">
            <v>34.950000000000003</v>
          </cell>
        </row>
        <row r="33">
          <cell r="B33">
            <v>35.1</v>
          </cell>
        </row>
        <row r="34">
          <cell r="B34">
            <v>35.1</v>
          </cell>
        </row>
        <row r="35">
          <cell r="B35">
            <v>35.270000000000003</v>
          </cell>
        </row>
        <row r="36">
          <cell r="B36">
            <v>35.25</v>
          </cell>
        </row>
        <row r="37">
          <cell r="B37">
            <v>35.229999999999997</v>
          </cell>
        </row>
        <row r="38">
          <cell r="B38">
            <v>35.090000000000003</v>
          </cell>
        </row>
        <row r="39">
          <cell r="B39">
            <v>35.1</v>
          </cell>
        </row>
        <row r="40">
          <cell r="B40">
            <v>35.119999999999997</v>
          </cell>
        </row>
        <row r="41">
          <cell r="B41">
            <v>35.130000000000003</v>
          </cell>
        </row>
        <row r="42">
          <cell r="B42">
            <v>34.950000000000003</v>
          </cell>
        </row>
        <row r="43">
          <cell r="B43">
            <v>39.31</v>
          </cell>
        </row>
        <row r="44">
          <cell r="B44">
            <v>41.28</v>
          </cell>
        </row>
        <row r="45">
          <cell r="B45">
            <v>37.380000000000003</v>
          </cell>
        </row>
        <row r="46">
          <cell r="B46">
            <v>43.62</v>
          </cell>
        </row>
        <row r="47">
          <cell r="B47">
            <v>64.900000000000006</v>
          </cell>
        </row>
        <row r="48">
          <cell r="B48">
            <v>112.25</v>
          </cell>
        </row>
        <row r="49">
          <cell r="B49">
            <v>186.5</v>
          </cell>
        </row>
        <row r="50">
          <cell r="B50">
            <v>140.25</v>
          </cell>
        </row>
        <row r="51">
          <cell r="B51">
            <v>134.5</v>
          </cell>
        </row>
        <row r="52">
          <cell r="B52">
            <v>164.95</v>
          </cell>
        </row>
        <row r="53">
          <cell r="B53">
            <v>226</v>
          </cell>
        </row>
        <row r="54">
          <cell r="B54">
            <v>512</v>
          </cell>
        </row>
        <row r="55">
          <cell r="B55">
            <v>589.75</v>
          </cell>
        </row>
        <row r="56">
          <cell r="B56">
            <v>397.5</v>
          </cell>
        </row>
        <row r="57">
          <cell r="B57">
            <v>459.6</v>
          </cell>
        </row>
        <row r="58">
          <cell r="B58">
            <v>382.4</v>
          </cell>
        </row>
        <row r="59">
          <cell r="B59">
            <v>308.3</v>
          </cell>
        </row>
        <row r="60">
          <cell r="B60">
            <v>326.8</v>
          </cell>
        </row>
        <row r="61">
          <cell r="B61">
            <v>388.75</v>
          </cell>
        </row>
        <row r="62">
          <cell r="B62">
            <v>484.1</v>
          </cell>
        </row>
        <row r="63">
          <cell r="B63">
            <v>410.25</v>
          </cell>
        </row>
        <row r="64">
          <cell r="B64">
            <v>398.6</v>
          </cell>
        </row>
        <row r="65">
          <cell r="B65">
            <v>386.2</v>
          </cell>
        </row>
        <row r="66">
          <cell r="B66">
            <v>353.15</v>
          </cell>
        </row>
        <row r="67">
          <cell r="B67">
            <v>332.9</v>
          </cell>
        </row>
        <row r="68">
          <cell r="B68">
            <v>391.75</v>
          </cell>
        </row>
        <row r="69">
          <cell r="B69">
            <v>383.25</v>
          </cell>
        </row>
        <row r="70">
          <cell r="B70">
            <v>387</v>
          </cell>
        </row>
        <row r="71">
          <cell r="B71">
            <v>369.25</v>
          </cell>
        </row>
        <row r="72">
          <cell r="B72">
            <v>290.2</v>
          </cell>
        </row>
        <row r="73">
          <cell r="B73">
            <v>287.8</v>
          </cell>
        </row>
        <row r="74">
          <cell r="B74">
            <v>290.25</v>
          </cell>
        </row>
        <row r="75">
          <cell r="B75">
            <v>274.45</v>
          </cell>
        </row>
        <row r="76">
          <cell r="B76">
            <v>276.5</v>
          </cell>
        </row>
        <row r="77">
          <cell r="B77">
            <v>347.2</v>
          </cell>
        </row>
        <row r="78">
          <cell r="B78">
            <v>416.25</v>
          </cell>
        </row>
        <row r="79">
          <cell r="B79">
            <v>435.6</v>
          </cell>
        </row>
        <row r="80">
          <cell r="B80">
            <v>513</v>
          </cell>
        </row>
        <row r="81">
          <cell r="B81">
            <v>632</v>
          </cell>
        </row>
        <row r="82">
          <cell r="B82">
            <v>833.75</v>
          </cell>
        </row>
        <row r="83">
          <cell r="B83">
            <v>869.75</v>
          </cell>
        </row>
        <row r="84">
          <cell r="B84">
            <v>1087.5</v>
          </cell>
        </row>
        <row r="85">
          <cell r="B85">
            <v>1405.5</v>
          </cell>
        </row>
        <row r="86">
          <cell r="B86">
            <v>1574.5</v>
          </cell>
        </row>
        <row r="87">
          <cell r="B87">
            <v>1664</v>
          </cell>
        </row>
        <row r="88">
          <cell r="B88">
            <v>1204.5</v>
          </cell>
        </row>
        <row r="89">
          <cell r="B89">
            <v>1206</v>
          </cell>
        </row>
        <row r="90">
          <cell r="B90">
            <v>1060</v>
          </cell>
        </row>
        <row r="91">
          <cell r="B91">
            <v>1145.9000000000001</v>
          </cell>
        </row>
        <row r="92">
          <cell r="B92">
            <v>1291</v>
          </cell>
        </row>
        <row r="93">
          <cell r="B93">
            <v>1279</v>
          </cell>
        </row>
        <row r="94">
          <cell r="B94">
            <v>1523</v>
          </cell>
        </row>
        <row r="95">
          <cell r="B95">
            <v>1891.1</v>
          </cell>
        </row>
        <row r="96">
          <cell r="B96">
            <v>1820.1</v>
          </cell>
        </row>
        <row r="97">
          <cell r="B97">
            <v>1830.1</v>
          </cell>
        </row>
        <row r="98">
          <cell r="B98">
            <v>2072.81</v>
          </cell>
        </row>
        <row r="99">
          <cell r="B99">
            <v>2610.85</v>
          </cell>
        </row>
      </sheetData>
      <sheetData sheetId="12"/>
      <sheetData sheetId="13"/>
      <sheetData sheetId="14"/>
      <sheetData sheetId="15"/>
      <sheetData sheetId="16"/>
      <sheetData sheetId="17"/>
      <sheetData sheetId="18"/>
      <sheetData sheetId="19"/>
      <sheetData sheetId="20"/>
      <sheetData sheetId="2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9">
  <a r="1">
    <v t="i">0</v>
  </a>
  <a r="1">
    <v>83.41</v>
  </a>
  <a r="1">
    <v>472.21</v>
  </a>
  <a r="1">
    <v>932.14</v>
  </a>
  <a r="1">
    <v>78.14</v>
  </a>
  <a r="1">
    <v>262.82</v>
  </a>
  <a r="1">
    <v>91.263099999999994</v>
  </a>
  <a r="1" c="37">
    <v t="i">0</v>
    <v t="i">31</v>
    <v t="i">61</v>
    <v t="i">92</v>
    <v t="i">123</v>
    <v t="i">151</v>
    <v t="i">182</v>
    <v t="i">212</v>
    <v t="i">243</v>
    <v t="i">273</v>
    <v t="i">304</v>
    <v t="i">335</v>
    <v t="i">365</v>
    <v t="i">396</v>
    <v t="i">426</v>
    <v t="i">457</v>
    <v t="i">488</v>
    <v t="i">517</v>
    <v t="i">548</v>
    <v t="i">578</v>
    <v t="i">609</v>
    <v t="i">639</v>
    <v t="i">670</v>
    <v t="i">701</v>
    <v t="i">731</v>
    <v t="i">762</v>
    <v t="i">792</v>
    <v t="i">823</v>
    <v t="i">854</v>
    <v t="i">882</v>
    <v t="i">913</v>
    <v t="i">943</v>
    <v t="i">974</v>
    <v t="i">1004</v>
    <v t="i">1035</v>
    <v t="i">1066</v>
    <v t="i">1096</v>
  </a>
  <a r="1" c="37">
    <v>32732.9532</v>
    <v>34589.768499999998</v>
    <v>33147.248500000002</v>
    <v>34086.036599999999</v>
    <v>32656.698</v>
    <v>33274.153599999998</v>
    <v>34098.1636</v>
    <v>32908.267399999997</v>
    <v>34407.599900000001</v>
    <v>35559.533199999998</v>
    <v>34721.9133</v>
    <v>33507.499499999998</v>
    <v>33052.868699999999</v>
    <v>35950.892699999997</v>
    <v>37689.5357</v>
    <v>38150.2958</v>
    <v>38996.385499999997</v>
    <v>39807.374499999998</v>
    <v>37815.915999999997</v>
    <v>38686.321900000003</v>
    <v>39118.864200000004</v>
    <v>40842.792300000001</v>
    <v>41563.08</v>
    <v>42330.15</v>
    <v>41763.46</v>
    <v>44910.65</v>
    <v>42544.22</v>
    <v>44544.66</v>
    <v>43840.91</v>
    <v>42001.760000000002</v>
    <v>40669.360000000001</v>
    <v>42270.07</v>
    <v>44094.77</v>
    <v>44130.98</v>
    <v>45544.88</v>
    <v>46397.89</v>
    <v>47706.37</v>
  </a>
</arrayData>
</file>

<file path=xl/richData/rdrichvalue.xml><?xml version="1.0" encoding="utf-8"?>
<rvData xmlns="http://schemas.microsoft.com/office/spreadsheetml/2017/richdata" count="87">
  <rv s="0">
    <fb>44835</fb>
    <v>0</v>
  </rv>
  <rv s="0">
    <fb>32732.9532</fb>
    <v>1</v>
  </rv>
  <rv s="0">
    <fb>44866</fb>
    <v>0</v>
  </rv>
  <rv s="0">
    <fb>34589.768499999998</fb>
    <v>1</v>
  </rv>
  <rv s="0">
    <fb>44896</fb>
    <v>0</v>
  </rv>
  <rv s="0">
    <fb>33147.248500000002</fb>
    <v>1</v>
  </rv>
  <rv s="0">
    <fb>44927</fb>
    <v>0</v>
  </rv>
  <rv s="0">
    <fb>34086.036599999999</fb>
    <v>1</v>
  </rv>
  <rv s="0">
    <fb>44958</fb>
    <v>0</v>
  </rv>
  <rv s="0">
    <fb>32656.698</fb>
    <v>1</v>
  </rv>
  <rv s="0">
    <fb>44986</fb>
    <v>0</v>
  </rv>
  <rv s="0">
    <fb>33274.153599999998</fb>
    <v>1</v>
  </rv>
  <rv s="0">
    <fb>45017</fb>
    <v>0</v>
  </rv>
  <rv s="0">
    <fb>34098.1636</fb>
    <v>1</v>
  </rv>
  <rv s="0">
    <fb>45047</fb>
    <v>0</v>
  </rv>
  <rv s="0">
    <fb>32908.267399999997</fb>
    <v>1</v>
  </rv>
  <rv s="0">
    <fb>45078</fb>
    <v>0</v>
  </rv>
  <rv s="0">
    <fb>34407.599900000001</fb>
    <v>1</v>
  </rv>
  <rv s="0">
    <fb>45108</fb>
    <v>0</v>
  </rv>
  <rv s="0">
    <fb>35559.533199999998</fb>
    <v>1</v>
  </rv>
  <rv s="0">
    <fb>45139</fb>
    <v>0</v>
  </rv>
  <rv s="0">
    <fb>34721.9133</fb>
    <v>1</v>
  </rv>
  <rv s="0">
    <fb>45170</fb>
    <v>0</v>
  </rv>
  <rv s="0">
    <fb>33507.499499999998</fb>
    <v>1</v>
  </rv>
  <rv s="0">
    <fb>45200</fb>
    <v>0</v>
  </rv>
  <rv s="0">
    <fb>33052.868699999999</fb>
    <v>1</v>
  </rv>
  <rv s="0">
    <fb>45231</fb>
    <v>0</v>
  </rv>
  <rv s="0">
    <fb>35950.892699999997</fb>
    <v>1</v>
  </rv>
  <rv s="0">
    <fb>45261</fb>
    <v>0</v>
  </rv>
  <rv s="0">
    <fb>37689.5357</fb>
    <v>1</v>
  </rv>
  <rv s="0">
    <fb>45292</fb>
    <v>0</v>
  </rv>
  <rv s="0">
    <fb>38150.2958</fb>
    <v>1</v>
  </rv>
  <rv s="0">
    <fb>45323</fb>
    <v>0</v>
  </rv>
  <rv s="0">
    <fb>38996.385499999997</fb>
    <v>1</v>
  </rv>
  <rv s="0">
    <fb>45352</fb>
    <v>0</v>
  </rv>
  <rv s="0">
    <fb>39807.374499999998</fb>
    <v>1</v>
  </rv>
  <rv s="0">
    <fb>45383</fb>
    <v>0</v>
  </rv>
  <rv s="0">
    <fb>37815.915999999997</fb>
    <v>1</v>
  </rv>
  <rv s="0">
    <fb>45413</fb>
    <v>0</v>
  </rv>
  <rv s="0">
    <fb>38686.321900000003</fb>
    <v>1</v>
  </rv>
  <rv s="0">
    <fb>45444</fb>
    <v>0</v>
  </rv>
  <rv s="0">
    <fb>39118.864200000004</fb>
    <v>1</v>
  </rv>
  <rv s="0">
    <fb>45474</fb>
    <v>0</v>
  </rv>
  <rv s="0">
    <fb>40842.792300000001</fb>
    <v>1</v>
  </rv>
  <rv s="0">
    <fb>45505</fb>
    <v>0</v>
  </rv>
  <rv s="0">
    <fb>41563.08</fb>
    <v>1</v>
  </rv>
  <rv s="0">
    <fb>45536</fb>
    <v>0</v>
  </rv>
  <rv s="0">
    <fb>42330.15</fb>
    <v>1</v>
  </rv>
  <rv s="0">
    <fb>45566</fb>
    <v>0</v>
  </rv>
  <rv s="0">
    <fb>41763.46</fb>
    <v>1</v>
  </rv>
  <rv s="0">
    <fb>45597</fb>
    <v>0</v>
  </rv>
  <rv s="0">
    <fb>44910.65</fb>
    <v>1</v>
  </rv>
  <rv s="0">
    <fb>45627</fb>
    <v>0</v>
  </rv>
  <rv s="0">
    <fb>42544.22</fb>
    <v>1</v>
  </rv>
  <rv s="0">
    <fb>45658</fb>
    <v>0</v>
  </rv>
  <rv s="0">
    <fb>44544.66</fb>
    <v>1</v>
  </rv>
  <rv s="0">
    <fb>45689</fb>
    <v>0</v>
  </rv>
  <rv s="0">
    <fb>43840.91</fb>
    <v>1</v>
  </rv>
  <rv s="0">
    <fb>45717</fb>
    <v>0</v>
  </rv>
  <rv s="0">
    <fb>42001.760000000002</fb>
    <v>1</v>
  </rv>
  <rv s="0">
    <fb>45748</fb>
    <v>0</v>
  </rv>
  <rv s="0">
    <fb>40669.360000000001</fb>
    <v>1</v>
  </rv>
  <rv s="0">
    <fb>45778</fb>
    <v>0</v>
  </rv>
  <rv s="0">
    <fb>42270.07</fb>
    <v>1</v>
  </rv>
  <rv s="0">
    <fb>45809</fb>
    <v>0</v>
  </rv>
  <rv s="0">
    <fb>44094.77</fb>
    <v>1</v>
  </rv>
  <rv s="0">
    <fb>45839</fb>
    <v>0</v>
  </rv>
  <rv s="0">
    <fb>44130.98</fb>
    <v>1</v>
  </rv>
  <rv s="0">
    <fb>45870</fb>
    <v>0</v>
  </rv>
  <rv s="0">
    <fb>45544.88</fb>
    <v>1</v>
  </rv>
  <rv s="0">
    <fb>45901</fb>
    <v>0</v>
  </rv>
  <rv s="0">
    <fb>46397.89</fb>
    <v>1</v>
  </rv>
  <rv s="0">
    <fb>45931</fb>
    <v>0</v>
  </rv>
  <rv s="0">
    <fb>47706.37</fb>
    <v>1</v>
  </rv>
  <rv s="0">
    <fb>262.82</fb>
    <v>1</v>
  </rv>
  <rv s="0">
    <fb>932.14</fb>
    <v>1</v>
  </rv>
  <rv s="0">
    <fb>472.21</fb>
    <v>1</v>
  </rv>
  <rv s="0">
    <fb>78.14</fb>
    <v>1</v>
  </rv>
  <rv s="0">
    <fb>91.263099999999994</fb>
    <v>1</v>
  </rv>
  <rv s="0">
    <fb>83.41</fb>
    <v>1</v>
  </rv>
  <rv s="1">
    <v>2</v>
    <v>RDNT</v>
    <v>Daily</v>
    <v>45954</v>
    <v>45954</v>
    <v>0</v>
    <v>1</v>
    <v>638968608000000000,638973686783031408,0</v>
    <v>0</v>
    <v>a21t27</v>
    <v>XNAS:RDNT</v>
    <v>1</v>
  </rv>
  <rv s="1">
    <v>2</v>
    <v>ARCX:DIA</v>
    <v>Daily</v>
    <v>45954</v>
    <v>45954</v>
    <v>0</v>
    <v>1</v>
    <v>638968608000000000,638973686782913101,0</v>
    <v>0</v>
    <v>a1r2c7</v>
    <v>ARCX:DIA</v>
    <v>2</v>
  </rv>
  <rv s="1">
    <v>2</v>
    <v>COST</v>
    <v>Daily</v>
    <v>45954</v>
    <v>45954</v>
    <v>0</v>
    <v>1</v>
    <v>638968608000000000,638973686782940086,0</v>
    <v>0</v>
    <v>a1q6k2</v>
    <v>XNAS:COST</v>
    <v>3</v>
  </rv>
  <rv s="1">
    <v>2</v>
    <v>GEHC</v>
    <v>Daily</v>
    <v>45954</v>
    <v>45954</v>
    <v>0</v>
    <v>1</v>
    <v>638968608000000000,638973686783059951,0</v>
    <v>0</v>
    <v>c8bc4c</v>
    <v>XNAS:GEHC</v>
    <v>4</v>
  </rv>
  <rv s="1">
    <v>2</v>
    <v>AAPL</v>
    <v>Daily</v>
    <v>45954</v>
    <v>45954</v>
    <v>0</v>
    <v>1</v>
    <v>638968608000000000,638973686782968088,0</v>
    <v>0</v>
    <v>a1mou2</v>
    <v>XNAS:AAPL</v>
    <v>5</v>
  </rv>
  <rv s="1">
    <v>2</v>
    <v>ONEQ</v>
    <v>Daily</v>
    <v>45954</v>
    <v>45954</v>
    <v>0</v>
    <v>1</v>
    <v>638968608000000000,638973686783000419,0</v>
    <v>0</v>
    <v>a1z91h</v>
    <v>XNAS:ONEQ</v>
    <v>6</v>
  </rv>
  <rv s="1">
    <v>2</v>
    <v>^DJI</v>
    <v>Monthly</v>
    <v>44835</v>
    <v>45991</v>
    <v>0</v>
    <v>1</v>
    <v/>
    <v>7</v>
    <v/>
    <v/>
    <v>8</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3">
    <spb s="0">
      <v>1</v>
    </spb>
    <spb s="0">
      <v>2</v>
    </spb>
    <spb s="1">
      <v>1</v>
      <v>2</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0" formatCode="General"/>
    </x:dxf>
    <x:dxf>
      <x:numFmt numFmtId="19" formatCode="m/d/yy"/>
    </x:dxf>
  </dxfs>
  <richProperties>
    <rPr n="NumberFormat" t="s"/>
  </richProperties>
  <richStyles>
    <rSty dxfid="1"/>
    <rSty dxfid="0">
      <rpv i="0">_([$$-en-US]* #,##0.00_);_([$$-en-US]* (#,##0.00);_([$$-en-US]*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F3DF66-EBE2-B140-A805-9FDFAC312BDB}" name="Table13" displayName="Table13" ref="A20:AB117" totalsRowShown="0" headerRowDxfId="30" headerRowBorderDxfId="29" tableBorderDxfId="28">
  <autoFilter ref="A20:AB117" xr:uid="{A8DDB367-0570-A84C-BBF0-06C4C5E4E7FA}"/>
  <tableColumns count="28">
    <tableColumn id="1" xr3:uid="{D0A88D58-9137-834D-86F0-394552182BF2}" name="Year" dataDxfId="27"/>
    <tableColumn id="2" xr3:uid="{7242FC62-71CF-6C46-B76F-BA4461FBAB8C}" name="S&amp;P 500 (includes dividends)" dataDxfId="26">
      <calculatedColumnFormula>('[1]S&amp;P 500 &amp; Raw Data'!B4-'[1]S&amp;P 500 &amp; Raw Data'!B3+'[1]S&amp;P 500 &amp; Raw Data'!C4)/'[1]S&amp;P 500 &amp; Raw Data'!B3</calculatedColumnFormula>
    </tableColumn>
    <tableColumn id="22" xr3:uid="{C0D91A56-4E3D-0E42-AF6A-98CAC214C030}" name="US Small cap (bottom decile)" dataDxfId="25">
      <calculatedColumnFormula>'[1]Small Cap'!B2</calculatedColumnFormula>
    </tableColumn>
    <tableColumn id="3" xr3:uid="{F2A890B6-C409-6F4A-A26C-04A73B8478B6}" name="3-month T.Bill" dataDxfId="24"/>
    <tableColumn id="4" xr3:uid="{7D960C18-C64C-1E4C-9A44-92DF643AC245}" name="US T. Bond (10-year)" dataDxfId="23">
      <calculatedColumnFormula>'[1]S&amp;P 500 &amp; Raw Data'!F4</calculatedColumnFormula>
    </tableColumn>
    <tableColumn id="16" xr3:uid="{6E0E2E0A-F14F-EB47-A77A-66787C1D45D1}" name=" Baa Corporate Bond" dataDxfId="22">
      <calculatedColumnFormula>'[1]S&amp;P 500 &amp; Raw Data'!J4</calculatedColumnFormula>
    </tableColumn>
    <tableColumn id="15" xr3:uid="{1BCA2D3C-4DA3-B241-B56C-F73C60686ED1}" name="Real Estate" dataDxfId="21">
      <calculatedColumnFormula>'[1]Home Prices'!B4/'[1]Home Prices'!B3-1</calculatedColumnFormula>
    </tableColumn>
    <tableColumn id="24" xr3:uid="{028FFC0F-152B-FE44-9340-0A7B03202153}" name="Gold*" dataDxfId="20">
      <calculatedColumnFormula>'[1]Gold Prices'!B3/'[1]Gold Prices'!B2-1</calculatedColumnFormula>
    </tableColumn>
    <tableColumn id="5" xr3:uid="{AB033771-B575-514D-B538-DF95260F2106}" name="S&amp;P 500 (includes dividends)3" dataDxfId="19"/>
    <tableColumn id="23" xr3:uid="{15AAC2CF-2380-8D4F-85BB-23B2AA2A8F78}" name="US Small cap (bottom decile) Cum Value" dataDxfId="18">
      <calculatedColumnFormula>J20*(1+C21)</calculatedColumnFormula>
    </tableColumn>
    <tableColumn id="6" xr3:uid="{AB0B50EE-2375-F049-84C6-69F01CDD8B94}" name="3-month T.Bill4" dataDxfId="17"/>
    <tableColumn id="7" xr3:uid="{5D3D6483-785C-994F-BE5C-3AB323194E7C}" name="US T. Bond5" dataDxfId="16"/>
    <tableColumn id="17" xr3:uid="{F5C90F0C-7F4B-9448-8239-3844BFEB29C1}" name=" Baa Corporate Bond2" dataDxfId="15"/>
    <tableColumn id="20" xr3:uid="{683B9AF6-9020-F24A-9F6A-B082DDD8CA78}" name="Real Estate2" dataDxfId="14">
      <calculatedColumnFormula>N20*(1+G21)</calculatedColumnFormula>
    </tableColumn>
    <tableColumn id="25" xr3:uid="{4EE90689-E8D5-574A-9D39-D72839F61EA9}" name="Gold2" dataDxfId="13">
      <calculatedColumnFormula>O20*(1+H21)</calculatedColumnFormula>
    </tableColumn>
    <tableColumn id="8" xr3:uid="{B5247337-6B9C-C54C-8BEA-FE1649DDDFE4}" name="Stocks - Bills" dataDxfId="12">
      <calculatedColumnFormula>B21-D21</calculatedColumnFormula>
    </tableColumn>
    <tableColumn id="9" xr3:uid="{F62DBC0F-CC38-674D-9808-47B6FF0D9D74}" name="Stocks - Bonds" dataDxfId="11">
      <calculatedColumnFormula>B21-E21</calculatedColumnFormula>
    </tableColumn>
    <tableColumn id="28" xr3:uid="{52B51BE1-68F3-494A-B8CF-4C46B73F7A39}" name="Small Cap Premium (S&amp;P 500 minus Bottom Decile)" dataDxfId="10">
      <calculatedColumnFormula>'Data Descriptors 2'!$C21-'Data Descriptors 2'!$B21</calculatedColumnFormula>
    </tableColumn>
    <tableColumn id="18" xr3:uid="{504FB51B-B57B-DB4B-8259-7A0AA5519253}" name="Stocks - Baa Corp Bond" dataDxfId="9">
      <calculatedColumnFormula>B21-F21</calculatedColumnFormula>
    </tableColumn>
    <tableColumn id="10" xr3:uid="{C51F4A31-765D-FD4A-988D-4AEB0D74DA87}" name="Historical ERP" dataDxfId="8"/>
    <tableColumn id="11" xr3:uid="{7EB93152-2BD0-1840-8AFD-39BE449617FC}" name="Inflation Rate" dataDxfId="7" dataCellStyle="Percent">
      <calculatedColumnFormula>'[1]Inflation Rate'!C26</calculatedColumnFormula>
    </tableColumn>
    <tableColumn id="12" xr3:uid="{B5FC1953-4C7C-4F45-979D-3D132439C95C}" name="S&amp;P 500 (includes dividends)2" dataDxfId="6">
      <calculatedColumnFormula>(1+B21)/(1+$U21)-1</calculatedColumnFormula>
    </tableColumn>
    <tableColumn id="27" xr3:uid="{0C23EAF2-6792-D247-BFA2-61B8E0216803}" name="US Small cap (bottom decile)22" dataDxfId="5">
      <calculatedColumnFormula>(1+C21)/(1+$U21)-1</calculatedColumnFormula>
    </tableColumn>
    <tableColumn id="13" xr3:uid="{376CFE9F-6000-4948-B4EA-7C17C67EFF60}" name="3-month T. Bill (Real)" dataDxfId="4">
      <calculatedColumnFormula>(1+D21)/(1+$U21)-1</calculatedColumnFormula>
    </tableColumn>
    <tableColumn id="14" xr3:uid="{691821EA-D9B3-6748-8051-A4E3AE1EC702}" name="!0-year T.Bonds" dataDxfId="3">
      <calculatedColumnFormula>(1+E21)/(1+$U21)-1</calculatedColumnFormula>
    </tableColumn>
    <tableColumn id="19" xr3:uid="{1BC53B60-A57D-6A46-B4B1-59D64E90505F}" name="Baa Corp Bonds" dataDxfId="2">
      <calculatedColumnFormula>(1+F21)/(1+$U21)-1</calculatedColumnFormula>
    </tableColumn>
    <tableColumn id="21" xr3:uid="{C89F9F0C-5E21-8D4A-B0F2-9312E34D1361}" name="Real Estate3" dataDxfId="1">
      <calculatedColumnFormula>(1+G21)/(1+$U21)-1</calculatedColumnFormula>
    </tableColumn>
    <tableColumn id="26" xr3:uid="{CDADE43D-3B1A-9544-A99A-17EBF7EDFB22}" name="Gold" dataDxfId="0">
      <calculatedColumnFormula>(1+H21)/(1+$U21)-1</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www.stern.nyu.edu/~adamodar/New_Home_Page/data.html" TargetMode="External"/><Relationship Id="rId7" Type="http://schemas.openxmlformats.org/officeDocument/2006/relationships/table" Target="../tables/table1.xml"/><Relationship Id="rId2" Type="http://schemas.openxmlformats.org/officeDocument/2006/relationships/hyperlink" Target="https://pages.stern.nyu.edu/~adamodar/" TargetMode="External"/><Relationship Id="rId1" Type="http://schemas.openxmlformats.org/officeDocument/2006/relationships/hyperlink" Target="mailto:adamodar@stern.nyu.edu?subject=Data%20on%20website" TargetMode="External"/><Relationship Id="rId6" Type="http://schemas.openxmlformats.org/officeDocument/2006/relationships/vmlDrawing" Target="../drawings/vmlDrawing1.vml"/><Relationship Id="rId5" Type="http://schemas.openxmlformats.org/officeDocument/2006/relationships/hyperlink" Target="http://www.stern.nyu.edu/~adamodar/New_Home_Page/datafile/variable.htm" TargetMode="External"/><Relationship Id="rId4" Type="http://schemas.openxmlformats.org/officeDocument/2006/relationships/hyperlink" Target="http://www.stern.nyu.edu/~adamodar/pc/datasets/indname.xl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17F74-1470-E140-8B55-5641FDB49B33}">
  <dimension ref="N10:N16"/>
  <sheetViews>
    <sheetView tabSelected="1" zoomScale="132" zoomScaleNormal="130" workbookViewId="0">
      <selection activeCell="N9" sqref="N9"/>
    </sheetView>
  </sheetViews>
  <sheetFormatPr baseColWidth="10" defaultRowHeight="16"/>
  <sheetData>
    <row r="10" spans="14:14">
      <c r="N10" s="158"/>
    </row>
    <row r="11" spans="14:14">
      <c r="N11" s="158"/>
    </row>
    <row r="12" spans="14:14">
      <c r="N12" s="158"/>
    </row>
    <row r="13" spans="14:14">
      <c r="N13" s="158"/>
    </row>
    <row r="14" spans="14:14">
      <c r="N14" s="158"/>
    </row>
    <row r="15" spans="14:14">
      <c r="N15" s="158"/>
    </row>
    <row r="16" spans="14:14">
      <c r="N16" s="158"/>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3715B-24A0-8148-B0F9-FA97A94D4EC2}">
  <dimension ref="A1:BH61"/>
  <sheetViews>
    <sheetView zoomScale="120" zoomScaleNormal="120" workbookViewId="0">
      <selection activeCell="F27" sqref="F27"/>
    </sheetView>
  </sheetViews>
  <sheetFormatPr baseColWidth="10" defaultRowHeight="16"/>
  <cols>
    <col min="1" max="1" width="21.1640625" customWidth="1"/>
    <col min="2" max="2" width="18.5" bestFit="1" customWidth="1"/>
    <col min="3" max="3" width="15.5" bestFit="1" customWidth="1"/>
    <col min="7" max="7" width="11.83203125" customWidth="1"/>
    <col min="8" max="8" width="12.1640625" customWidth="1"/>
    <col min="12" max="12" width="11.83203125" customWidth="1"/>
    <col min="15" max="15" width="17.6640625" bestFit="1" customWidth="1"/>
    <col min="16" max="16" width="18.5" bestFit="1" customWidth="1"/>
    <col min="17" max="17" width="15.5" bestFit="1" customWidth="1"/>
    <col min="18" max="18" width="8.33203125" bestFit="1" customWidth="1"/>
    <col min="21" max="21" width="24.5" customWidth="1"/>
    <col min="22" max="22" width="16.33203125" customWidth="1"/>
    <col min="23" max="23" width="14" customWidth="1"/>
    <col min="27" max="27" width="12.6640625" customWidth="1"/>
    <col min="28" max="28" width="14.83203125" bestFit="1" customWidth="1"/>
    <col min="29" max="31" width="13.6640625" customWidth="1"/>
    <col min="38" max="39" width="19.1640625" customWidth="1"/>
    <col min="40" max="40" width="15.33203125" customWidth="1"/>
    <col min="45" max="46" width="16.83203125" customWidth="1"/>
    <col min="53" max="53" width="16.33203125" bestFit="1" customWidth="1"/>
    <col min="55" max="56" width="24.83203125" bestFit="1" customWidth="1"/>
    <col min="58" max="58" width="11" bestFit="1" customWidth="1"/>
    <col min="59" max="59" width="12.83203125" bestFit="1" customWidth="1"/>
    <col min="60" max="60" width="11" bestFit="1" customWidth="1"/>
  </cols>
  <sheetData>
    <row r="1" spans="1:60">
      <c r="O1" t="s">
        <v>161</v>
      </c>
      <c r="U1" t="s">
        <v>0</v>
      </c>
      <c r="AL1" s="4" t="s">
        <v>62</v>
      </c>
      <c r="AM1" s="4"/>
      <c r="AN1" s="4"/>
      <c r="AO1" s="4"/>
      <c r="AP1" s="4"/>
      <c r="AQ1" s="4"/>
      <c r="AR1" s="4"/>
      <c r="AS1" s="4" t="s">
        <v>62</v>
      </c>
      <c r="AT1" s="4"/>
      <c r="AU1" s="4"/>
      <c r="AV1" s="4"/>
      <c r="AW1" s="4"/>
      <c r="AX1" s="4"/>
      <c r="AY1" s="4"/>
      <c r="AZ1" s="4"/>
      <c r="BA1" s="4"/>
    </row>
    <row r="2" spans="1:60">
      <c r="O2" s="79" t="s">
        <v>1</v>
      </c>
      <c r="P2" s="79" t="s">
        <v>2</v>
      </c>
      <c r="Q2" s="79" t="s">
        <v>9</v>
      </c>
      <c r="R2" s="79" t="s">
        <v>149</v>
      </c>
      <c r="U2" t="s">
        <v>150</v>
      </c>
      <c r="AL2" s="9" t="s">
        <v>63</v>
      </c>
      <c r="AM2" s="4"/>
      <c r="AN2" s="4"/>
      <c r="AO2" s="4"/>
      <c r="AP2" s="4"/>
      <c r="AQ2" s="4"/>
      <c r="AR2" s="4"/>
      <c r="AS2" s="4" t="s">
        <v>63</v>
      </c>
      <c r="AT2" s="4"/>
      <c r="AU2" s="4"/>
      <c r="AV2" s="4"/>
      <c r="AW2" s="4"/>
      <c r="AX2" s="4"/>
      <c r="AY2" s="4"/>
      <c r="AZ2" s="4"/>
      <c r="BA2" s="4"/>
    </row>
    <row r="3" spans="1:60">
      <c r="O3" s="80">
        <v>44866</v>
      </c>
      <c r="P3" s="81">
        <v>1546.44</v>
      </c>
      <c r="Q3" s="81">
        <v>1569.76</v>
      </c>
      <c r="R3" s="82">
        <f t="shared" ref="R3:R37" si="0">(Q3 - P3) / P3</f>
        <v>1.5079796177025902E-2</v>
      </c>
      <c r="U3" t="s">
        <v>151</v>
      </c>
      <c r="AL3" s="4" t="s">
        <v>64</v>
      </c>
      <c r="AM3" s="4"/>
      <c r="AN3" s="4"/>
      <c r="AO3" s="4"/>
      <c r="AP3" s="4"/>
      <c r="AQ3" s="4"/>
      <c r="AR3" s="4"/>
      <c r="AS3" s="4" t="s">
        <v>64</v>
      </c>
      <c r="AT3" s="4"/>
      <c r="AU3" s="4"/>
      <c r="AV3" s="4"/>
      <c r="AW3" s="4"/>
      <c r="AX3" s="4"/>
      <c r="AY3" s="4"/>
      <c r="AZ3" s="4"/>
      <c r="BA3" s="4"/>
    </row>
    <row r="4" spans="1:60">
      <c r="O4" s="80">
        <v>44896</v>
      </c>
      <c r="P4" s="81">
        <v>1569.76</v>
      </c>
      <c r="Q4" s="81">
        <v>1892.55</v>
      </c>
      <c r="R4" s="82">
        <f t="shared" si="0"/>
        <v>0.20563016002446233</v>
      </c>
      <c r="U4" t="s">
        <v>1</v>
      </c>
      <c r="V4" t="s">
        <v>2</v>
      </c>
      <c r="W4" t="s">
        <v>3</v>
      </c>
      <c r="X4" t="s">
        <v>4</v>
      </c>
      <c r="Y4" t="s">
        <v>5</v>
      </c>
      <c r="Z4" t="s">
        <v>6</v>
      </c>
      <c r="AA4" t="s">
        <v>7</v>
      </c>
      <c r="AB4" t="s">
        <v>8</v>
      </c>
      <c r="AC4" t="s">
        <v>9</v>
      </c>
      <c r="AL4" s="4" t="s">
        <v>65</v>
      </c>
      <c r="AM4" s="4"/>
      <c r="AN4" s="4"/>
      <c r="AO4" s="4"/>
      <c r="AP4" s="4"/>
      <c r="AQ4" s="4"/>
      <c r="AR4" s="4"/>
      <c r="AS4" s="4" t="s">
        <v>65</v>
      </c>
      <c r="AT4" s="4"/>
      <c r="AU4" s="4"/>
      <c r="AV4" s="4"/>
      <c r="AW4" s="4"/>
      <c r="AX4" s="4"/>
      <c r="AY4" s="4"/>
      <c r="AZ4" s="4"/>
      <c r="BA4" s="4"/>
    </row>
    <row r="5" spans="1:60">
      <c r="O5" s="80">
        <v>44927</v>
      </c>
      <c r="P5" s="81">
        <v>1892.55</v>
      </c>
      <c r="Q5" s="81">
        <v>2115.6</v>
      </c>
      <c r="R5" s="82">
        <f t="shared" si="0"/>
        <v>0.11785685979234364</v>
      </c>
      <c r="U5" t="s">
        <v>152</v>
      </c>
      <c r="V5" s="2">
        <v>3521.24</v>
      </c>
      <c r="W5" s="2">
        <v>58.36</v>
      </c>
      <c r="X5" s="2">
        <v>1.32</v>
      </c>
      <c r="Y5" s="2">
        <v>0</v>
      </c>
      <c r="Z5" s="2">
        <v>0</v>
      </c>
      <c r="AA5" s="2">
        <v>0</v>
      </c>
      <c r="AB5" s="2">
        <v>0</v>
      </c>
      <c r="AC5" s="2">
        <v>3581.14</v>
      </c>
      <c r="AD5" t="s">
        <v>153</v>
      </c>
      <c r="AL5" s="4" t="s">
        <v>66</v>
      </c>
      <c r="AM5" s="4"/>
      <c r="AN5" s="4"/>
      <c r="AO5" s="4"/>
      <c r="AP5" s="4"/>
      <c r="AQ5" s="4"/>
      <c r="AR5" s="4"/>
      <c r="AS5" s="4" t="s">
        <v>66</v>
      </c>
      <c r="AT5" s="4"/>
      <c r="AU5" s="4"/>
      <c r="AV5" s="4"/>
      <c r="AW5" s="4"/>
      <c r="AX5" s="4"/>
      <c r="AY5" s="4"/>
      <c r="AZ5" s="4"/>
      <c r="BA5" s="4"/>
    </row>
    <row r="6" spans="1:60">
      <c r="O6" s="80">
        <v>44958</v>
      </c>
      <c r="P6" s="81">
        <v>2115.6</v>
      </c>
      <c r="Q6" s="81">
        <v>2069.23</v>
      </c>
      <c r="R6" s="82">
        <f t="shared" si="0"/>
        <v>-2.1918131972017346E-2</v>
      </c>
      <c r="U6" s="1">
        <v>45901</v>
      </c>
      <c r="V6" s="2">
        <v>3486.14</v>
      </c>
      <c r="W6" s="2">
        <v>32.36</v>
      </c>
      <c r="X6" s="2">
        <v>1.42</v>
      </c>
      <c r="Y6" s="2">
        <v>0</v>
      </c>
      <c r="Z6" s="2">
        <v>0</v>
      </c>
      <c r="AA6" s="2">
        <v>0</v>
      </c>
      <c r="AB6" s="2">
        <v>0</v>
      </c>
      <c r="AC6" s="2">
        <v>3521.24</v>
      </c>
      <c r="AD6" t="s">
        <v>10</v>
      </c>
      <c r="AL6" s="3"/>
      <c r="AM6" s="4"/>
      <c r="AN6" s="4"/>
      <c r="AO6" s="4"/>
      <c r="AP6" s="4"/>
      <c r="AQ6" s="4"/>
      <c r="AR6" s="4"/>
      <c r="AS6" s="3"/>
      <c r="AT6" s="4"/>
      <c r="AU6" s="4"/>
      <c r="AV6" s="4"/>
      <c r="AW6" s="4"/>
      <c r="AX6" s="4"/>
      <c r="AY6" s="4"/>
      <c r="AZ6" s="4"/>
      <c r="BA6" s="4"/>
    </row>
    <row r="7" spans="1:60" ht="17" thickBot="1">
      <c r="O7" s="80">
        <v>44986</v>
      </c>
      <c r="P7" s="81">
        <v>2069.23</v>
      </c>
      <c r="Q7" s="81">
        <v>2155.73</v>
      </c>
      <c r="R7" s="82">
        <f t="shared" si="0"/>
        <v>4.1802989517839971E-2</v>
      </c>
      <c r="U7" s="1">
        <v>45870</v>
      </c>
      <c r="V7" s="2">
        <v>3386.21</v>
      </c>
      <c r="W7" s="2">
        <v>95.38</v>
      </c>
      <c r="X7" s="2">
        <v>4.28</v>
      </c>
      <c r="Y7" s="2">
        <v>0</v>
      </c>
      <c r="Z7" s="2">
        <v>0</v>
      </c>
      <c r="AA7" s="2">
        <v>0</v>
      </c>
      <c r="AB7" s="2">
        <v>0</v>
      </c>
      <c r="AC7" s="2">
        <v>3486.14</v>
      </c>
      <c r="AD7" t="s">
        <v>11</v>
      </c>
      <c r="AL7" s="4"/>
      <c r="AM7" s="5"/>
      <c r="AN7" s="4"/>
      <c r="AO7" s="4"/>
      <c r="AP7" s="4"/>
      <c r="AQ7" s="4"/>
      <c r="AR7" s="4"/>
      <c r="AS7" s="4"/>
      <c r="AT7" s="5"/>
      <c r="AU7" s="4"/>
      <c r="AV7" s="4"/>
      <c r="AW7" s="4"/>
      <c r="AX7" s="4"/>
      <c r="AY7" s="4"/>
      <c r="AZ7" s="4"/>
      <c r="BA7" s="4"/>
    </row>
    <row r="8" spans="1:60">
      <c r="A8" s="85" t="s">
        <v>175</v>
      </c>
      <c r="B8" s="85"/>
      <c r="C8" s="85" t="s">
        <v>176</v>
      </c>
      <c r="D8" s="85"/>
      <c r="E8" s="85" t="s">
        <v>177</v>
      </c>
      <c r="F8" s="85"/>
      <c r="G8" s="85" t="s">
        <v>180</v>
      </c>
      <c r="H8" s="85"/>
      <c r="I8" s="85" t="s">
        <v>181</v>
      </c>
      <c r="J8" s="85"/>
      <c r="K8" s="85" t="s">
        <v>182</v>
      </c>
      <c r="L8" s="85"/>
      <c r="M8" s="106" t="s">
        <v>208</v>
      </c>
      <c r="N8" s="84"/>
      <c r="O8" s="80">
        <v>45017</v>
      </c>
      <c r="P8" s="81">
        <v>2155.73</v>
      </c>
      <c r="Q8" s="81">
        <v>2186.14</v>
      </c>
      <c r="R8" s="82">
        <f t="shared" si="0"/>
        <v>1.4106590342946406E-2</v>
      </c>
      <c r="U8" s="1">
        <v>45839</v>
      </c>
      <c r="V8" s="2">
        <v>3482.13</v>
      </c>
      <c r="W8" s="2">
        <v>-98.27</v>
      </c>
      <c r="X8" s="2">
        <v>2.1</v>
      </c>
      <c r="Y8" s="2">
        <v>0</v>
      </c>
      <c r="Z8" s="2">
        <v>0</v>
      </c>
      <c r="AA8" s="2">
        <v>0</v>
      </c>
      <c r="AB8" s="2">
        <v>0</v>
      </c>
      <c r="AC8" s="2">
        <v>3386.21</v>
      </c>
      <c r="AD8" t="s">
        <v>12</v>
      </c>
      <c r="AL8" s="6" t="s">
        <v>67</v>
      </c>
      <c r="AM8" s="6" t="s">
        <v>68</v>
      </c>
      <c r="AN8" s="7" t="s">
        <v>69</v>
      </c>
      <c r="AO8" s="4"/>
      <c r="AP8" s="4"/>
      <c r="AQ8" s="4"/>
      <c r="AR8" s="4"/>
      <c r="AS8" s="6" t="s">
        <v>67</v>
      </c>
      <c r="AT8" s="6" t="s">
        <v>70</v>
      </c>
      <c r="AU8" s="7" t="s">
        <v>69</v>
      </c>
      <c r="AV8" s="4"/>
      <c r="AW8" s="4"/>
      <c r="AX8" s="4"/>
      <c r="AY8" s="4"/>
      <c r="AZ8" s="4"/>
      <c r="BA8" s="4" t="s">
        <v>179</v>
      </c>
      <c r="BB8" t="s">
        <v>178</v>
      </c>
      <c r="BC8" t="s">
        <v>180</v>
      </c>
      <c r="BE8" s="79" t="s">
        <v>227</v>
      </c>
      <c r="BF8" s="79" t="str" cm="1">
        <f t="array" aca="1" ref="BF8:BG45" ca="1">_xlfn.STOCKHISTORY("^DJI", EDATE(DATE(2025, 10, 26),-36), TODAY(), 2, 1, 0, 1)</f>
        <v>Date</v>
      </c>
      <c r="BG8" s="79" t="str">
        <f ca="1"/>
        <v>Close</v>
      </c>
      <c r="BH8" s="79" t="s">
        <v>149</v>
      </c>
    </row>
    <row r="9" spans="1:60" ht="16" customHeight="1">
      <c r="O9" s="80">
        <v>45047</v>
      </c>
      <c r="P9" s="81">
        <v>2186.14</v>
      </c>
      <c r="Q9" s="81">
        <v>2212.79</v>
      </c>
      <c r="R9" s="82">
        <f t="shared" si="0"/>
        <v>1.2190436111136566E-2</v>
      </c>
      <c r="U9" s="1">
        <v>45809</v>
      </c>
      <c r="V9" s="2">
        <v>3536.27</v>
      </c>
      <c r="W9" s="2">
        <v>-56.93</v>
      </c>
      <c r="X9" s="2">
        <v>1.59</v>
      </c>
      <c r="Y9" s="2">
        <v>0</v>
      </c>
      <c r="Z9" s="2">
        <v>0</v>
      </c>
      <c r="AA9" s="2">
        <v>0</v>
      </c>
      <c r="AB9" s="2">
        <v>0</v>
      </c>
      <c r="AC9" s="2">
        <v>3482.13</v>
      </c>
      <c r="AD9" t="s">
        <v>13</v>
      </c>
      <c r="AL9" s="8">
        <v>44866</v>
      </c>
      <c r="AM9" s="5">
        <v>4.32</v>
      </c>
      <c r="AN9" s="4">
        <f>((1 + AM9/100) ^ (1/12)) - 1</f>
        <v>3.5306273826369861E-3</v>
      </c>
      <c r="AO9" s="4"/>
      <c r="AP9" s="4"/>
      <c r="AQ9" s="4"/>
      <c r="AR9" s="4"/>
      <c r="AS9" s="8">
        <v>44835</v>
      </c>
      <c r="AT9" s="5">
        <v>3726.05</v>
      </c>
      <c r="AU9" s="4"/>
      <c r="AV9" s="4"/>
      <c r="AW9" s="4"/>
      <c r="AX9" s="4"/>
      <c r="AY9" s="4"/>
      <c r="AZ9" s="4"/>
      <c r="BA9" s="4"/>
      <c r="BB9" s="88">
        <v>44866</v>
      </c>
      <c r="BC9" s="86">
        <f>R3 - AN9</f>
        <v>1.1549168794388916E-2</v>
      </c>
      <c r="BD9" s="86"/>
      <c r="BE9" s="79"/>
      <c r="BF9" s="79" vm="1">
        <f ca="1"/>
        <v>44835</v>
      </c>
      <c r="BG9" s="79" vm="2">
        <f ca="1"/>
        <v>32732.9532</v>
      </c>
      <c r="BH9" s="79"/>
    </row>
    <row r="10" spans="1:60">
      <c r="A10" t="s">
        <v>162</v>
      </c>
      <c r="B10" s="86">
        <v>2.4795550315710166E-2</v>
      </c>
      <c r="C10" s="110">
        <v>4.0283359649622786E-3</v>
      </c>
      <c r="D10" s="110"/>
      <c r="E10" s="110">
        <v>1.687251750094183E-2</v>
      </c>
      <c r="F10" s="110"/>
      <c r="G10" s="110">
        <v>2.0989628645482462E-2</v>
      </c>
      <c r="H10" s="110">
        <v>2.0989628645482462E-2</v>
      </c>
      <c r="I10" s="108">
        <v>0.11794145831193953</v>
      </c>
      <c r="J10" s="108">
        <v>0.11794145831193953</v>
      </c>
      <c r="K10" s="108">
        <v>3.3552895622492439E-2</v>
      </c>
      <c r="L10" s="108">
        <v>3.3552895622492439E-2</v>
      </c>
      <c r="M10" s="108">
        <v>1.1162256323707855E-2</v>
      </c>
      <c r="N10" s="108"/>
      <c r="O10" s="80">
        <v>45078</v>
      </c>
      <c r="P10" s="81">
        <v>2212.79</v>
      </c>
      <c r="Q10" s="81">
        <v>2326.0500000000002</v>
      </c>
      <c r="R10" s="82">
        <f t="shared" si="0"/>
        <v>5.1184251555728387E-2</v>
      </c>
      <c r="U10" s="1">
        <v>45778</v>
      </c>
      <c r="V10" s="2">
        <v>3433.57</v>
      </c>
      <c r="W10" s="2">
        <v>97.86</v>
      </c>
      <c r="X10" s="2">
        <v>4.5199999999999996</v>
      </c>
      <c r="Y10" s="2">
        <v>0</v>
      </c>
      <c r="Z10" s="2">
        <v>0</v>
      </c>
      <c r="AA10" s="2">
        <v>0</v>
      </c>
      <c r="AB10" s="2">
        <v>0</v>
      </c>
      <c r="AC10" s="2">
        <v>3536.27</v>
      </c>
      <c r="AD10" t="s">
        <v>14</v>
      </c>
      <c r="AL10" s="8">
        <v>44896</v>
      </c>
      <c r="AM10" s="5">
        <v>4.3600000000000003</v>
      </c>
      <c r="AN10" s="4">
        <f t="shared" ref="AN10:AN43" si="1">((1 + AM10/100) ^ (1/12)) - 1</f>
        <v>3.5626875279843873E-3</v>
      </c>
      <c r="AO10" s="4"/>
      <c r="AP10" s="4"/>
      <c r="AQ10" s="4"/>
      <c r="AR10" s="4"/>
      <c r="AS10" s="8">
        <v>44866</v>
      </c>
      <c r="AT10" s="5">
        <v>3917.49</v>
      </c>
      <c r="AU10" s="4">
        <f>(AT10-AT9)/AT9</f>
        <v>5.1378805974154826E-2</v>
      </c>
      <c r="AV10" s="4"/>
      <c r="AW10" s="4"/>
      <c r="AX10" s="4"/>
      <c r="AY10" s="4"/>
      <c r="AZ10" s="4"/>
      <c r="BA10" s="4"/>
      <c r="BB10" s="88">
        <v>44896</v>
      </c>
      <c r="BC10" s="86">
        <f t="shared" ref="BC10:BC43" si="2">R4 - AN10</f>
        <v>0.20206747249647794</v>
      </c>
      <c r="BE10" s="79"/>
      <c r="BF10" s="79" vm="3">
        <f ca="1"/>
        <v>44866</v>
      </c>
      <c r="BG10" s="79" vm="4">
        <f ca="1"/>
        <v>34589.768499999998</v>
      </c>
      <c r="BH10" s="82">
        <f ca="1">(BG10 - BG9) / BG9</f>
        <v>5.6726177092997473E-2</v>
      </c>
    </row>
    <row r="11" spans="1:60">
      <c r="A11" t="s">
        <v>147</v>
      </c>
      <c r="B11" s="86">
        <v>8.5101763135888766E-3</v>
      </c>
      <c r="C11" s="110">
        <v>7.0426164305162364E-5</v>
      </c>
      <c r="D11" s="110"/>
      <c r="E11" s="110">
        <v>5.019262225909908E-3</v>
      </c>
      <c r="F11" s="110"/>
      <c r="G11" s="110">
        <v>8.7533820027317702E-3</v>
      </c>
      <c r="H11" s="110">
        <v>8.7533820027317702E-3</v>
      </c>
      <c r="I11" s="108">
        <v>1.9794105177835641E-2</v>
      </c>
      <c r="J11" s="108">
        <v>1.9794105177835641E-2</v>
      </c>
      <c r="K11" s="108">
        <v>3.0423802857683386E-3</v>
      </c>
      <c r="L11" s="108">
        <v>3.0423802857683386E-3</v>
      </c>
      <c r="M11" s="108">
        <v>6.0865320284113509E-3</v>
      </c>
      <c r="N11" s="108"/>
      <c r="O11" s="80">
        <v>45108</v>
      </c>
      <c r="P11" s="81">
        <v>2326.0500000000002</v>
      </c>
      <c r="Q11" s="81">
        <v>2386.6999999999998</v>
      </c>
      <c r="R11" s="82">
        <f t="shared" si="0"/>
        <v>2.6074246039422898E-2</v>
      </c>
      <c r="U11" s="1">
        <v>45748</v>
      </c>
      <c r="V11" s="2">
        <v>3387.16</v>
      </c>
      <c r="W11" s="2">
        <v>44.25</v>
      </c>
      <c r="X11" s="2">
        <v>1.89</v>
      </c>
      <c r="Y11" s="2">
        <v>0</v>
      </c>
      <c r="Z11" s="2">
        <v>0</v>
      </c>
      <c r="AA11" s="2">
        <v>0</v>
      </c>
      <c r="AB11" s="2">
        <v>0</v>
      </c>
      <c r="AC11" s="2">
        <v>3433.57</v>
      </c>
      <c r="AD11" t="s">
        <v>15</v>
      </c>
      <c r="AL11" s="8">
        <v>44927</v>
      </c>
      <c r="AM11" s="5">
        <v>4.6900000000000004</v>
      </c>
      <c r="AN11" s="4">
        <f t="shared" si="1"/>
        <v>3.8267547616503972E-3</v>
      </c>
      <c r="AO11" s="4"/>
      <c r="AP11" s="4"/>
      <c r="AQ11" s="4"/>
      <c r="AR11" s="4"/>
      <c r="AS11" s="8">
        <v>44896</v>
      </c>
      <c r="AT11" s="5">
        <v>3912.38</v>
      </c>
      <c r="AU11" s="4">
        <f t="shared" ref="AU11:AU45" si="3">(AT11-AT10)/AT10</f>
        <v>-1.3044066481343087E-3</v>
      </c>
      <c r="AV11" s="4"/>
      <c r="AW11" s="4"/>
      <c r="AX11" s="4"/>
      <c r="AY11" s="4"/>
      <c r="AZ11" s="4"/>
      <c r="BA11" s="4"/>
      <c r="BB11" s="88">
        <v>44927</v>
      </c>
      <c r="BC11" s="86">
        <f t="shared" si="2"/>
        <v>0.11403010503069325</v>
      </c>
      <c r="BE11" s="79"/>
      <c r="BF11" s="79" vm="5">
        <f ca="1"/>
        <v>44896</v>
      </c>
      <c r="BG11" s="79" vm="6">
        <f ca="1"/>
        <v>33147.248500000002</v>
      </c>
      <c r="BH11" s="82">
        <f t="shared" ref="BH11:BH45" ca="1" si="4">(BG11 - BG10) / BG10</f>
        <v>-4.1703661589987132E-2</v>
      </c>
    </row>
    <row r="12" spans="1:60">
      <c r="A12" t="s">
        <v>163</v>
      </c>
      <c r="B12" s="86">
        <v>1.604542308851295E-2</v>
      </c>
      <c r="C12" s="110">
        <v>4.0103507726252374E-3</v>
      </c>
      <c r="D12" s="110"/>
      <c r="E12" s="110">
        <v>2.3881732266826723E-2</v>
      </c>
      <c r="F12" s="110"/>
      <c r="G12" s="110">
        <v>1.1549168794388916E-2</v>
      </c>
      <c r="H12" s="110">
        <v>1.1549168794388916E-2</v>
      </c>
      <c r="I12" s="108">
        <v>0.14821092278719414</v>
      </c>
      <c r="J12" s="108">
        <v>0.14821092278719414</v>
      </c>
      <c r="K12" s="108">
        <v>2.9971199999999996E-2</v>
      </c>
      <c r="L12" s="108">
        <v>2.9971199999999996E-2</v>
      </c>
      <c r="M12" s="108">
        <v>1.8818235321875959E-2</v>
      </c>
      <c r="N12" s="108"/>
      <c r="O12" s="80">
        <v>45139</v>
      </c>
      <c r="P12" s="81">
        <v>2386.6999999999998</v>
      </c>
      <c r="Q12" s="81">
        <v>2325.7800000000002</v>
      </c>
      <c r="R12" s="82">
        <f t="shared" si="0"/>
        <v>-2.5524783173419208E-2</v>
      </c>
      <c r="U12" s="1">
        <v>45717</v>
      </c>
      <c r="V12" s="2">
        <v>3674.3</v>
      </c>
      <c r="W12" s="2">
        <v>-289.89999999999998</v>
      </c>
      <c r="X12" s="2">
        <v>1.96</v>
      </c>
      <c r="Y12" s="2">
        <v>0</v>
      </c>
      <c r="Z12" s="2">
        <v>0</v>
      </c>
      <c r="AA12" s="2">
        <v>0</v>
      </c>
      <c r="AB12" s="2">
        <v>0</v>
      </c>
      <c r="AC12" s="2">
        <v>3387.16</v>
      </c>
      <c r="AD12" t="s">
        <v>16</v>
      </c>
      <c r="AL12" s="8">
        <v>44958</v>
      </c>
      <c r="AM12" s="5">
        <v>4.79</v>
      </c>
      <c r="AN12" s="4">
        <f t="shared" si="1"/>
        <v>3.9066244998400279E-3</v>
      </c>
      <c r="AO12" s="4"/>
      <c r="AP12" s="4"/>
      <c r="AQ12" s="4"/>
      <c r="AR12" s="4"/>
      <c r="AS12" s="8">
        <v>44927</v>
      </c>
      <c r="AT12" s="5">
        <v>3960.66</v>
      </c>
      <c r="AU12" s="4">
        <f t="shared" si="3"/>
        <v>1.2340314591118385E-2</v>
      </c>
      <c r="AV12" s="4"/>
      <c r="AW12" s="4"/>
      <c r="AX12" s="4"/>
      <c r="AY12" s="4"/>
      <c r="AZ12" s="4"/>
      <c r="BA12" s="4"/>
      <c r="BB12" s="88">
        <v>44958</v>
      </c>
      <c r="BC12" s="86">
        <f t="shared" si="2"/>
        <v>-2.5824756471857373E-2</v>
      </c>
      <c r="BE12" s="79"/>
      <c r="BF12" s="79" vm="7">
        <f ca="1"/>
        <v>44927</v>
      </c>
      <c r="BG12" s="79" vm="8">
        <f ca="1"/>
        <v>34086.036599999999</v>
      </c>
      <c r="BH12" s="82">
        <f t="shared" ca="1" si="4"/>
        <v>2.8321750446345429E-2</v>
      </c>
    </row>
    <row r="13" spans="1:60">
      <c r="A13" t="s">
        <v>164</v>
      </c>
      <c r="B13" s="86" t="e">
        <v>#N/A</v>
      </c>
      <c r="C13" s="110">
        <v>4.4240812097819937E-3</v>
      </c>
      <c r="D13" s="110"/>
      <c r="E13" s="110" t="e">
        <v>#N/A</v>
      </c>
      <c r="F13" s="110"/>
      <c r="G13" s="110" t="e">
        <v>#N/A</v>
      </c>
      <c r="H13" s="110" t="e">
        <v>#N/A</v>
      </c>
      <c r="I13" s="108" t="e">
        <v>#N/A</v>
      </c>
      <c r="J13" s="108" t="e">
        <v>#N/A</v>
      </c>
      <c r="K13" s="108">
        <v>3.8E-3</v>
      </c>
      <c r="L13" s="108">
        <v>3.8E-3</v>
      </c>
      <c r="M13" s="108" t="e">
        <v>#N/A</v>
      </c>
      <c r="N13" s="108"/>
      <c r="O13" s="80">
        <v>45170</v>
      </c>
      <c r="P13" s="81">
        <v>2325.7800000000002</v>
      </c>
      <c r="Q13" s="81">
        <v>2301.77</v>
      </c>
      <c r="R13" s="82">
        <f t="shared" si="0"/>
        <v>-1.0323418380070434E-2</v>
      </c>
      <c r="U13" s="1">
        <v>45689</v>
      </c>
      <c r="V13" s="2">
        <v>3535.45</v>
      </c>
      <c r="W13" s="2">
        <v>134.13</v>
      </c>
      <c r="X13" s="2">
        <v>4.0599999999999996</v>
      </c>
      <c r="Y13" s="2">
        <v>0</v>
      </c>
      <c r="Z13" s="2">
        <v>0</v>
      </c>
      <c r="AA13" s="2">
        <v>0</v>
      </c>
      <c r="AB13" s="2">
        <v>0</v>
      </c>
      <c r="AC13" s="2">
        <v>3674.3</v>
      </c>
      <c r="AD13" t="s">
        <v>17</v>
      </c>
      <c r="AL13" s="8">
        <v>44986</v>
      </c>
      <c r="AM13" s="5">
        <v>4.8600000000000003</v>
      </c>
      <c r="AN13" s="4">
        <f t="shared" si="1"/>
        <v>3.9624917561102979E-3</v>
      </c>
      <c r="AO13" s="4"/>
      <c r="AP13" s="4"/>
      <c r="AQ13" s="4"/>
      <c r="AR13" s="4"/>
      <c r="AS13" s="8">
        <v>44958</v>
      </c>
      <c r="AT13" s="5">
        <v>4079.68</v>
      </c>
      <c r="AU13" s="4">
        <f t="shared" si="3"/>
        <v>3.0050547131033712E-2</v>
      </c>
      <c r="AV13" s="4"/>
      <c r="AW13" s="4"/>
      <c r="AX13" s="4"/>
      <c r="AY13" s="4"/>
      <c r="AZ13" s="4"/>
      <c r="BA13" s="4"/>
      <c r="BB13" s="88">
        <v>44986</v>
      </c>
      <c r="BC13" s="86">
        <f t="shared" si="2"/>
        <v>3.7840497761729673E-2</v>
      </c>
      <c r="BE13" s="79"/>
      <c r="BF13" s="79" vm="9">
        <f ca="1"/>
        <v>44958</v>
      </c>
      <c r="BG13" s="79" vm="10">
        <f ca="1"/>
        <v>32656.698</v>
      </c>
      <c r="BH13" s="82">
        <f t="shared" ca="1" si="4"/>
        <v>-4.1933258969744786E-2</v>
      </c>
    </row>
    <row r="14" spans="1:60">
      <c r="A14" t="s">
        <v>165</v>
      </c>
      <c r="B14" s="86">
        <v>5.1061057881533263E-2</v>
      </c>
      <c r="C14" s="110">
        <v>4.166468068470229E-4</v>
      </c>
      <c r="D14" s="110"/>
      <c r="E14" s="110">
        <v>3.0115573355459446E-2</v>
      </c>
      <c r="F14" s="110"/>
      <c r="G14" s="110">
        <v>5.1785706300109459E-2</v>
      </c>
      <c r="H14" s="110">
        <v>5.1785706300109459E-2</v>
      </c>
      <c r="I14" s="108">
        <v>0.19494932721029923</v>
      </c>
      <c r="J14" s="108">
        <v>0.19494932721029923</v>
      </c>
      <c r="K14" s="108">
        <v>2.996397081352016E-2</v>
      </c>
      <c r="L14" s="108">
        <v>2.996397081352016E-2</v>
      </c>
      <c r="M14" s="108">
        <v>3.6519192170468104E-2</v>
      </c>
      <c r="N14" s="108"/>
      <c r="O14" s="80">
        <v>45200</v>
      </c>
      <c r="P14" s="81">
        <v>2301.77</v>
      </c>
      <c r="Q14" s="81">
        <v>2267.09</v>
      </c>
      <c r="R14" s="82">
        <f t="shared" si="0"/>
        <v>-1.5066666087402232E-2</v>
      </c>
      <c r="U14" s="1">
        <v>45658</v>
      </c>
      <c r="V14" s="2">
        <v>3393.34</v>
      </c>
      <c r="W14" s="2">
        <v>139.55000000000001</v>
      </c>
      <c r="X14" s="2">
        <v>2.33</v>
      </c>
      <c r="Y14" s="2">
        <v>0</v>
      </c>
      <c r="Z14" s="2">
        <v>0</v>
      </c>
      <c r="AA14" s="2">
        <v>0</v>
      </c>
      <c r="AB14" s="2">
        <v>0</v>
      </c>
      <c r="AC14" s="2">
        <v>3535.45</v>
      </c>
      <c r="AD14" t="s">
        <v>18</v>
      </c>
      <c r="AL14" s="8">
        <v>45017</v>
      </c>
      <c r="AM14" s="5">
        <v>5.07</v>
      </c>
      <c r="AN14" s="4">
        <f t="shared" si="1"/>
        <v>4.1298886422020953E-3</v>
      </c>
      <c r="AO14" s="4"/>
      <c r="AP14" s="4"/>
      <c r="AQ14" s="4"/>
      <c r="AR14" s="4"/>
      <c r="AS14" s="8">
        <v>44986</v>
      </c>
      <c r="AT14" s="5">
        <v>3968.56</v>
      </c>
      <c r="AU14" s="4">
        <f t="shared" si="3"/>
        <v>-2.723743038669697E-2</v>
      </c>
      <c r="AV14" s="4"/>
      <c r="AW14" s="4"/>
      <c r="AX14" s="4"/>
      <c r="AY14" s="4"/>
      <c r="AZ14" s="4"/>
      <c r="BA14" s="4"/>
      <c r="BB14" s="88">
        <v>45017</v>
      </c>
      <c r="BC14" s="86">
        <f t="shared" si="2"/>
        <v>9.9767017007443108E-3</v>
      </c>
      <c r="BE14" s="79"/>
      <c r="BF14" s="79" vm="11">
        <f ca="1"/>
        <v>44986</v>
      </c>
      <c r="BG14" s="79" vm="12">
        <f ca="1"/>
        <v>33274.153599999998</v>
      </c>
      <c r="BH14" s="82">
        <f t="shared" ca="1" si="4"/>
        <v>1.8907471906681978E-2</v>
      </c>
    </row>
    <row r="15" spans="1:60">
      <c r="A15" t="s">
        <v>166</v>
      </c>
      <c r="B15" s="86">
        <v>2.60723163198129E-3</v>
      </c>
      <c r="C15" s="110">
        <v>1.7359456165582043E-7</v>
      </c>
      <c r="D15" s="110"/>
      <c r="E15" s="110">
        <v>9.0694775852805901E-4</v>
      </c>
      <c r="F15" s="110"/>
      <c r="G15" s="110">
        <v>2.6817593770011965E-3</v>
      </c>
      <c r="H15" s="110">
        <v>2.6817593770011965E-3</v>
      </c>
      <c r="I15" s="108">
        <v>3.8005240179748316E-2</v>
      </c>
      <c r="J15" s="108">
        <v>3.8005240179748316E-2</v>
      </c>
      <c r="K15" s="108">
        <v>8.9783954691348802E-4</v>
      </c>
      <c r="L15" s="108">
        <v>8.9783954691348802E-4</v>
      </c>
      <c r="M15" s="108">
        <v>1.333651396783579E-3</v>
      </c>
      <c r="N15" s="108"/>
      <c r="O15" s="80">
        <v>45231</v>
      </c>
      <c r="P15" s="81">
        <v>2267.09</v>
      </c>
      <c r="Q15" s="81">
        <v>2434.63</v>
      </c>
      <c r="R15" s="82">
        <f t="shared" si="0"/>
        <v>7.3900903801789944E-2</v>
      </c>
      <c r="U15" s="1">
        <v>45627</v>
      </c>
      <c r="V15" s="2">
        <v>3509.86</v>
      </c>
      <c r="W15" s="2">
        <v>-119.5</v>
      </c>
      <c r="X15" s="2">
        <v>1.76</v>
      </c>
      <c r="Y15" s="2">
        <v>0</v>
      </c>
      <c r="Z15" s="2">
        <v>0</v>
      </c>
      <c r="AA15" s="2">
        <v>0</v>
      </c>
      <c r="AB15" s="2">
        <v>0</v>
      </c>
      <c r="AC15" s="2">
        <v>3393.34</v>
      </c>
      <c r="AD15" t="s">
        <v>19</v>
      </c>
      <c r="AL15" s="8">
        <v>45047</v>
      </c>
      <c r="AM15" s="5">
        <v>5.31</v>
      </c>
      <c r="AN15" s="4">
        <f t="shared" si="1"/>
        <v>4.3208242423642407E-3</v>
      </c>
      <c r="AO15" s="4"/>
      <c r="AP15" s="4"/>
      <c r="AQ15" s="4"/>
      <c r="AR15" s="4"/>
      <c r="AS15" s="8">
        <v>45017</v>
      </c>
      <c r="AT15" s="5">
        <v>4121.47</v>
      </c>
      <c r="AU15" s="4">
        <f t="shared" si="3"/>
        <v>3.8530348539520712E-2</v>
      </c>
      <c r="AV15" s="4"/>
      <c r="AW15" s="4"/>
      <c r="AX15" s="4"/>
      <c r="AY15" s="4"/>
      <c r="AZ15" s="4"/>
      <c r="BA15" s="4"/>
      <c r="BB15" s="88">
        <v>45047</v>
      </c>
      <c r="BC15" s="86">
        <f t="shared" si="2"/>
        <v>7.8696118687723252E-3</v>
      </c>
      <c r="BE15" s="79"/>
      <c r="BF15" s="79" vm="13">
        <f ca="1"/>
        <v>45017</v>
      </c>
      <c r="BG15" s="79" vm="14">
        <f ca="1"/>
        <v>34098.1636</v>
      </c>
      <c r="BH15" s="82">
        <f t="shared" ca="1" si="4"/>
        <v>2.476426628023987E-2</v>
      </c>
    </row>
    <row r="16" spans="1:60">
      <c r="A16" t="s">
        <v>167</v>
      </c>
      <c r="B16" s="86">
        <v>3.4740853646903593</v>
      </c>
      <c r="C16" s="110">
        <v>-1.7376688683057564</v>
      </c>
      <c r="D16" s="110"/>
      <c r="E16" s="110">
        <v>0.69584167924932894</v>
      </c>
      <c r="F16" s="110"/>
      <c r="G16" s="110">
        <v>3.3347884106571426</v>
      </c>
      <c r="H16" s="110">
        <v>3.3347884106571426</v>
      </c>
      <c r="I16" s="108">
        <v>6.3145411483762626E-2</v>
      </c>
      <c r="J16" s="108">
        <v>6.3145411483762626E-2</v>
      </c>
      <c r="K16" s="108">
        <v>0.94965073410801315</v>
      </c>
      <c r="L16" s="108">
        <v>0.94965073410801315</v>
      </c>
      <c r="M16" s="108">
        <v>-0.72770661254800828</v>
      </c>
      <c r="N16" s="108"/>
      <c r="O16" s="80">
        <v>45261</v>
      </c>
      <c r="P16" s="81">
        <v>2434.63</v>
      </c>
      <c r="Q16" s="81">
        <v>2647.42</v>
      </c>
      <c r="R16" s="82">
        <f t="shared" si="0"/>
        <v>8.7401371050221166E-2</v>
      </c>
      <c r="U16" s="1">
        <v>45597</v>
      </c>
      <c r="V16" s="2">
        <v>3254.02</v>
      </c>
      <c r="W16" s="2">
        <v>251.4</v>
      </c>
      <c r="X16" s="2">
        <v>4.17</v>
      </c>
      <c r="Y16" s="2">
        <v>0</v>
      </c>
      <c r="Z16" s="2">
        <v>0</v>
      </c>
      <c r="AA16" s="2">
        <v>0</v>
      </c>
      <c r="AB16" s="2">
        <v>0</v>
      </c>
      <c r="AC16" s="2">
        <v>3509.86</v>
      </c>
      <c r="AD16" t="s">
        <v>20</v>
      </c>
      <c r="AL16" s="8">
        <v>45078</v>
      </c>
      <c r="AM16" s="5">
        <v>5.42</v>
      </c>
      <c r="AN16" s="4">
        <f t="shared" si="1"/>
        <v>4.4082031209211614E-3</v>
      </c>
      <c r="AO16" s="4"/>
      <c r="AP16" s="4"/>
      <c r="AQ16" s="4"/>
      <c r="AR16" s="4"/>
      <c r="AS16" s="8">
        <v>45047</v>
      </c>
      <c r="AT16" s="5">
        <v>4146.17</v>
      </c>
      <c r="AU16" s="4">
        <f t="shared" si="3"/>
        <v>5.9930073493194942E-3</v>
      </c>
      <c r="AV16" s="4"/>
      <c r="AW16" s="4"/>
      <c r="AX16" s="4"/>
      <c r="AY16" s="4"/>
      <c r="AZ16" s="4"/>
      <c r="BA16" s="4"/>
      <c r="BB16" s="88">
        <v>45078</v>
      </c>
      <c r="BC16" s="86">
        <f t="shared" si="2"/>
        <v>4.6776048434807226E-2</v>
      </c>
      <c r="BE16" s="79"/>
      <c r="BF16" s="79" vm="15">
        <f ca="1"/>
        <v>45047</v>
      </c>
      <c r="BG16" s="79" vm="16">
        <f ca="1"/>
        <v>32908.267399999997</v>
      </c>
      <c r="BH16" s="82">
        <f t="shared" ca="1" si="4"/>
        <v>-3.4896195993381965E-2</v>
      </c>
    </row>
    <row r="17" spans="1:60">
      <c r="A17" t="s">
        <v>168</v>
      </c>
      <c r="B17" s="86">
        <v>1.2444711297133071</v>
      </c>
      <c r="C17" s="110">
        <v>-0.14071021579414811</v>
      </c>
      <c r="D17" s="110"/>
      <c r="E17" s="110">
        <v>-0.68834977666332897</v>
      </c>
      <c r="F17" s="110"/>
      <c r="G17" s="110">
        <v>1.2282907298524268</v>
      </c>
      <c r="H17" s="110">
        <v>1.2282907298524268</v>
      </c>
      <c r="I17" s="108">
        <v>-0.45501636444687166</v>
      </c>
      <c r="J17" s="108">
        <v>-0.45501636444687166</v>
      </c>
      <c r="K17" s="108">
        <v>1.0164242644475103</v>
      </c>
      <c r="L17" s="108">
        <v>1.0164242644475103</v>
      </c>
      <c r="M17" s="108">
        <v>-0.14258485090692008</v>
      </c>
      <c r="N17" s="108"/>
      <c r="O17" s="80">
        <v>45292</v>
      </c>
      <c r="P17" s="81">
        <v>2647.42</v>
      </c>
      <c r="Q17" s="81">
        <v>2699.74</v>
      </c>
      <c r="R17" s="82">
        <f t="shared" si="0"/>
        <v>1.9762636831330015E-2</v>
      </c>
      <c r="U17" s="1">
        <v>45566</v>
      </c>
      <c r="V17" s="2">
        <v>3309.42</v>
      </c>
      <c r="W17" s="2">
        <v>-57.87</v>
      </c>
      <c r="X17" s="2">
        <v>2.4700000000000002</v>
      </c>
      <c r="Y17" s="2">
        <v>0</v>
      </c>
      <c r="Z17" s="2">
        <v>0</v>
      </c>
      <c r="AA17" s="2">
        <v>0</v>
      </c>
      <c r="AB17" s="2">
        <v>0</v>
      </c>
      <c r="AC17" s="2">
        <v>3254.02</v>
      </c>
      <c r="AD17" t="s">
        <v>21</v>
      </c>
      <c r="AL17" s="8">
        <v>45108</v>
      </c>
      <c r="AM17" s="5">
        <v>5.49</v>
      </c>
      <c r="AN17" s="4">
        <f t="shared" si="1"/>
        <v>4.463764356697375E-3</v>
      </c>
      <c r="AO17" s="4"/>
      <c r="AP17" s="4"/>
      <c r="AQ17" s="4"/>
      <c r="AR17" s="4"/>
      <c r="AS17" s="8">
        <v>45078</v>
      </c>
      <c r="AT17" s="5">
        <v>4345.37</v>
      </c>
      <c r="AU17" s="4">
        <f t="shared" si="3"/>
        <v>4.8044339715930563E-2</v>
      </c>
      <c r="AV17" s="4"/>
      <c r="AW17" s="4"/>
      <c r="AX17" s="4"/>
      <c r="AY17" s="4"/>
      <c r="AZ17" s="4"/>
      <c r="BA17" s="4"/>
      <c r="BB17" s="88">
        <v>45108</v>
      </c>
      <c r="BC17" s="86">
        <f t="shared" si="2"/>
        <v>2.1610481682725523E-2</v>
      </c>
      <c r="BE17" s="79"/>
      <c r="BF17" s="79" vm="17">
        <f ca="1"/>
        <v>45078</v>
      </c>
      <c r="BG17" s="79" vm="18">
        <f ca="1"/>
        <v>34407.599900000001</v>
      </c>
      <c r="BH17" s="82">
        <f t="shared" ca="1" si="4"/>
        <v>4.5560967454640416E-2</v>
      </c>
    </row>
    <row r="18" spans="1:60">
      <c r="A18" t="s">
        <v>169</v>
      </c>
      <c r="B18" s="86">
        <v>0.28377837873278783</v>
      </c>
      <c r="C18" s="110">
        <v>1.2210108283718935E-3</v>
      </c>
      <c r="D18" s="110"/>
      <c r="E18" s="110">
        <v>0.14094833283019936</v>
      </c>
      <c r="F18" s="110"/>
      <c r="G18" s="110">
        <v>0.28376235006841716</v>
      </c>
      <c r="H18" s="110">
        <v>0.28376235006841716</v>
      </c>
      <c r="I18" s="108">
        <v>0.96400870133221095</v>
      </c>
      <c r="J18" s="108">
        <v>0.96400870133221095</v>
      </c>
      <c r="K18" s="108">
        <v>0.14003464738955823</v>
      </c>
      <c r="L18" s="108">
        <v>0.14003464738955823</v>
      </c>
      <c r="M18" s="108">
        <v>0.1403703971942282</v>
      </c>
      <c r="N18" s="108"/>
      <c r="O18" s="80">
        <v>45323</v>
      </c>
      <c r="P18" s="81">
        <v>2699.74</v>
      </c>
      <c r="Q18" s="81">
        <v>2846.65</v>
      </c>
      <c r="R18" s="82">
        <f t="shared" si="0"/>
        <v>5.4416351204190153E-2</v>
      </c>
      <c r="U18" s="1">
        <v>45536</v>
      </c>
      <c r="V18" s="2">
        <v>3282.91</v>
      </c>
      <c r="W18" s="2">
        <v>24.71</v>
      </c>
      <c r="X18" s="2">
        <v>1.8</v>
      </c>
      <c r="Y18" s="2">
        <v>0</v>
      </c>
      <c r="Z18" s="2">
        <v>0</v>
      </c>
      <c r="AA18" s="2">
        <v>0</v>
      </c>
      <c r="AB18" s="2">
        <v>0</v>
      </c>
      <c r="AC18" s="2">
        <v>3309.42</v>
      </c>
      <c r="AD18" t="s">
        <v>22</v>
      </c>
      <c r="AL18" s="8">
        <v>45139</v>
      </c>
      <c r="AM18" s="5">
        <v>5.56</v>
      </c>
      <c r="AN18" s="4">
        <f t="shared" si="1"/>
        <v>4.5192918063745591E-3</v>
      </c>
      <c r="AO18" s="4"/>
      <c r="AP18" s="4"/>
      <c r="AQ18" s="4"/>
      <c r="AR18" s="4"/>
      <c r="AS18" s="8">
        <v>45108</v>
      </c>
      <c r="AT18" s="5">
        <v>4508.08</v>
      </c>
      <c r="AU18" s="4">
        <f t="shared" si="3"/>
        <v>3.7444452371144465E-2</v>
      </c>
      <c r="AV18" s="4"/>
      <c r="AW18" s="4"/>
      <c r="AX18" s="4"/>
      <c r="AY18" s="4"/>
      <c r="AZ18" s="4"/>
      <c r="BA18" s="4"/>
      <c r="BB18" s="88">
        <v>45139</v>
      </c>
      <c r="BC18" s="86">
        <f t="shared" si="2"/>
        <v>-3.0044074979793767E-2</v>
      </c>
      <c r="BE18" s="79"/>
      <c r="BF18" s="79" vm="19">
        <f ca="1"/>
        <v>45108</v>
      </c>
      <c r="BG18" s="79" vm="20">
        <f ca="1"/>
        <v>35559.533199999998</v>
      </c>
      <c r="BH18" s="82">
        <f t="shared" ca="1" si="4"/>
        <v>3.3479036705492411E-2</v>
      </c>
    </row>
    <row r="19" spans="1:60">
      <c r="A19" t="s">
        <v>170</v>
      </c>
      <c r="B19" s="86">
        <v>-7.8148218708325487E-2</v>
      </c>
      <c r="C19" s="110">
        <v>3.329995796502061E-3</v>
      </c>
      <c r="D19" s="110"/>
      <c r="E19" s="110">
        <v>-5.8739561063740654E-2</v>
      </c>
      <c r="F19" s="110"/>
      <c r="G19" s="110">
        <v>-8.1694877571939203E-2</v>
      </c>
      <c r="H19" s="110">
        <v>-8.1694877571939203E-2</v>
      </c>
      <c r="I19" s="108">
        <v>-0.43837548891786188</v>
      </c>
      <c r="J19" s="108">
        <v>-0.43837548891786188</v>
      </c>
      <c r="K19" s="108">
        <v>3.2719999999999998E-4</v>
      </c>
      <c r="L19" s="108">
        <v>3.2719999999999998E-4</v>
      </c>
      <c r="M19" s="108">
        <v>-5.2691956139579367E-2</v>
      </c>
      <c r="N19" s="108"/>
      <c r="O19" s="80">
        <v>45352</v>
      </c>
      <c r="P19" s="81">
        <v>2846.65</v>
      </c>
      <c r="Q19" s="81">
        <v>2816.97</v>
      </c>
      <c r="R19" s="82">
        <f t="shared" si="0"/>
        <v>-1.0426290552052514E-2</v>
      </c>
      <c r="U19" s="1">
        <v>45505</v>
      </c>
      <c r="V19" s="2">
        <v>3114.82</v>
      </c>
      <c r="W19" s="2">
        <v>163.69999999999999</v>
      </c>
      <c r="X19" s="2">
        <v>4.3899999999999997</v>
      </c>
      <c r="Y19" s="2">
        <v>0</v>
      </c>
      <c r="Z19" s="2">
        <v>0</v>
      </c>
      <c r="AA19" s="2">
        <v>0</v>
      </c>
      <c r="AB19" s="2">
        <v>0</v>
      </c>
      <c r="AC19" s="2">
        <v>3282.91</v>
      </c>
      <c r="AD19" t="s">
        <v>23</v>
      </c>
      <c r="AL19" s="8">
        <v>45170</v>
      </c>
      <c r="AM19" s="5">
        <v>5.56</v>
      </c>
      <c r="AN19" s="4">
        <f t="shared" si="1"/>
        <v>4.5192918063745591E-3</v>
      </c>
      <c r="AO19" s="4"/>
      <c r="AP19" s="4"/>
      <c r="AQ19" s="4"/>
      <c r="AR19" s="4"/>
      <c r="AS19" s="8">
        <v>45139</v>
      </c>
      <c r="AT19" s="5">
        <v>4457.3599999999997</v>
      </c>
      <c r="AU19" s="4">
        <f t="shared" si="3"/>
        <v>-1.1250909478092725E-2</v>
      </c>
      <c r="AV19" s="4"/>
      <c r="AW19" s="4"/>
      <c r="AX19" s="4"/>
      <c r="AY19" s="4"/>
      <c r="AZ19" s="4"/>
      <c r="BA19" s="4"/>
      <c r="BB19" s="88">
        <v>45170</v>
      </c>
      <c r="BC19" s="86">
        <f t="shared" si="2"/>
        <v>-1.4842710186444993E-2</v>
      </c>
      <c r="BE19" s="79"/>
      <c r="BF19" s="79" vm="21">
        <f ca="1"/>
        <v>45139</v>
      </c>
      <c r="BG19" s="79" vm="22">
        <f ca="1"/>
        <v>34721.9133</v>
      </c>
      <c r="BH19" s="82">
        <f t="shared" ca="1" si="4"/>
        <v>-2.3555424512715424E-2</v>
      </c>
    </row>
    <row r="20" spans="1:60">
      <c r="A20" t="s">
        <v>171</v>
      </c>
      <c r="B20" s="86">
        <v>0.20563016002446233</v>
      </c>
      <c r="C20" s="110">
        <v>4.5510066248739545E-3</v>
      </c>
      <c r="D20" s="110"/>
      <c r="E20" s="110">
        <v>8.2208771766458716E-2</v>
      </c>
      <c r="F20" s="110"/>
      <c r="G20" s="110">
        <v>0.20206747249647794</v>
      </c>
      <c r="H20" s="110">
        <v>0.20206747249647794</v>
      </c>
      <c r="I20" s="108">
        <v>0.52563321241434902</v>
      </c>
      <c r="J20" s="108">
        <v>0.52563321241434902</v>
      </c>
      <c r="K20" s="108">
        <v>0.14036184738955823</v>
      </c>
      <c r="L20" s="108">
        <v>0.14036184738955823</v>
      </c>
      <c r="M20" s="108">
        <v>8.7678441054648837E-2</v>
      </c>
      <c r="N20" s="108"/>
      <c r="O20" s="80">
        <v>45383</v>
      </c>
      <c r="P20" s="81">
        <v>2816.97</v>
      </c>
      <c r="Q20" s="81">
        <v>2744.78</v>
      </c>
      <c r="R20" s="82">
        <f t="shared" si="0"/>
        <v>-2.5626825986787082E-2</v>
      </c>
      <c r="U20" s="1">
        <v>45474</v>
      </c>
      <c r="V20" s="2">
        <v>3116.05</v>
      </c>
      <c r="W20" s="2">
        <v>-3.4</v>
      </c>
      <c r="X20" s="2">
        <v>2.17</v>
      </c>
      <c r="Y20" s="2">
        <v>0</v>
      </c>
      <c r="Z20" s="2">
        <v>0</v>
      </c>
      <c r="AA20" s="2">
        <v>0</v>
      </c>
      <c r="AB20" s="2">
        <v>0</v>
      </c>
      <c r="AC20" s="2">
        <v>3114.82</v>
      </c>
      <c r="AD20" t="s">
        <v>24</v>
      </c>
      <c r="AL20" s="8">
        <v>45200</v>
      </c>
      <c r="AM20" s="5">
        <v>5.6</v>
      </c>
      <c r="AN20" s="4">
        <f t="shared" si="1"/>
        <v>4.5510066248739545E-3</v>
      </c>
      <c r="AO20" s="4"/>
      <c r="AP20" s="4"/>
      <c r="AQ20" s="4"/>
      <c r="AR20" s="4"/>
      <c r="AS20" s="8">
        <v>45170</v>
      </c>
      <c r="AT20" s="5">
        <v>4409.1000000000004</v>
      </c>
      <c r="AU20" s="4">
        <f t="shared" si="3"/>
        <v>-1.0827036631548565E-2</v>
      </c>
      <c r="AV20" s="4"/>
      <c r="AW20" s="4"/>
      <c r="AX20" s="4"/>
      <c r="AY20" s="4"/>
      <c r="AZ20" s="4"/>
      <c r="BA20" s="4"/>
      <c r="BB20" s="88">
        <v>45200</v>
      </c>
      <c r="BC20" s="86">
        <f t="shared" si="2"/>
        <v>-1.9617672712276185E-2</v>
      </c>
      <c r="BE20" s="79"/>
      <c r="BF20" s="79" vm="23">
        <f ca="1"/>
        <v>45170</v>
      </c>
      <c r="BG20" s="79" vm="24">
        <f ca="1"/>
        <v>33507.499499999998</v>
      </c>
      <c r="BH20" s="82">
        <f t="shared" ca="1" si="4"/>
        <v>-3.497542861498943E-2</v>
      </c>
    </row>
    <row r="21" spans="1:60">
      <c r="A21" t="s">
        <v>172</v>
      </c>
      <c r="B21" s="86">
        <v>0.89263981136556592</v>
      </c>
      <c r="C21" s="110">
        <v>0.14099175877367975</v>
      </c>
      <c r="D21" s="110"/>
      <c r="E21" s="110">
        <v>0.60741063003390583</v>
      </c>
      <c r="F21" s="110"/>
      <c r="G21" s="110">
        <v>0.73463700259188613</v>
      </c>
      <c r="H21" s="110">
        <v>0.73463700259188613</v>
      </c>
      <c r="I21" s="108">
        <v>11.440321456258134</v>
      </c>
      <c r="J21" s="108">
        <v>11.440321456258134</v>
      </c>
      <c r="K21" s="108">
        <v>3.2546308753817663</v>
      </c>
      <c r="L21" s="108">
        <v>3.2546308753817663</v>
      </c>
      <c r="M21" s="108">
        <v>0.40184122765348279</v>
      </c>
      <c r="N21" s="108"/>
      <c r="O21" s="80">
        <v>45413</v>
      </c>
      <c r="P21" s="81">
        <v>2744.78</v>
      </c>
      <c r="Q21" s="81">
        <v>2986.15</v>
      </c>
      <c r="R21" s="82">
        <f t="shared" si="0"/>
        <v>8.7937831083001142E-2</v>
      </c>
      <c r="U21" s="1">
        <v>45444</v>
      </c>
      <c r="V21" s="2">
        <v>2986.15</v>
      </c>
      <c r="W21" s="2">
        <v>127.85</v>
      </c>
      <c r="X21" s="2">
        <v>2.0499999999999998</v>
      </c>
      <c r="Y21" s="2">
        <v>0</v>
      </c>
      <c r="Z21" s="2">
        <v>0</v>
      </c>
      <c r="AA21" s="2">
        <v>0</v>
      </c>
      <c r="AB21" s="2">
        <v>0</v>
      </c>
      <c r="AC21" s="2">
        <v>3116.05</v>
      </c>
      <c r="AD21" t="s">
        <v>25</v>
      </c>
      <c r="AL21" s="8">
        <v>45231</v>
      </c>
      <c r="AM21" s="5">
        <v>5.52</v>
      </c>
      <c r="AN21" s="4">
        <f t="shared" si="1"/>
        <v>4.4875659696987924E-3</v>
      </c>
      <c r="AO21" s="4"/>
      <c r="AP21" s="4"/>
      <c r="AQ21" s="4"/>
      <c r="AR21" s="4"/>
      <c r="AS21" s="8">
        <v>45200</v>
      </c>
      <c r="AT21" s="5">
        <v>4269.3999999999996</v>
      </c>
      <c r="AU21" s="4">
        <f t="shared" si="3"/>
        <v>-3.168447075366871E-2</v>
      </c>
      <c r="AV21" s="4"/>
      <c r="AW21" s="4"/>
      <c r="AX21" s="4"/>
      <c r="AY21" s="4"/>
      <c r="AZ21" s="4"/>
      <c r="BA21" s="4"/>
      <c r="BB21" s="88">
        <v>45231</v>
      </c>
      <c r="BC21" s="86">
        <f t="shared" si="2"/>
        <v>6.9413337832091151E-2</v>
      </c>
      <c r="BE21" s="79"/>
      <c r="BF21" s="79" vm="25">
        <f ca="1"/>
        <v>45200</v>
      </c>
      <c r="BG21" s="79" vm="26">
        <f ca="1"/>
        <v>33052.868699999999</v>
      </c>
      <c r="BH21" s="82">
        <f t="shared" ca="1" si="4"/>
        <v>-1.3568031240289925E-2</v>
      </c>
    </row>
    <row r="22" spans="1:60">
      <c r="A22" t="s">
        <v>173</v>
      </c>
      <c r="B22" s="86">
        <v>36</v>
      </c>
      <c r="C22" s="110">
        <v>35</v>
      </c>
      <c r="D22" s="110"/>
      <c r="E22" s="110">
        <v>36</v>
      </c>
      <c r="F22" s="110"/>
      <c r="G22" s="110">
        <v>35</v>
      </c>
      <c r="H22" s="110">
        <v>35</v>
      </c>
      <c r="I22" s="108">
        <v>97</v>
      </c>
      <c r="J22" s="108">
        <v>97</v>
      </c>
      <c r="K22" s="108">
        <v>97</v>
      </c>
      <c r="L22" s="108">
        <v>97</v>
      </c>
      <c r="M22" s="108">
        <v>36</v>
      </c>
      <c r="N22" s="108"/>
      <c r="O22" s="80">
        <v>45444</v>
      </c>
      <c r="P22" s="81">
        <v>2986.15</v>
      </c>
      <c r="Q22" s="81">
        <v>3116.05</v>
      </c>
      <c r="R22" s="82">
        <f t="shared" si="0"/>
        <v>4.3500828826415316E-2</v>
      </c>
      <c r="U22" s="1">
        <v>45413</v>
      </c>
      <c r="V22" s="2">
        <v>2744.78</v>
      </c>
      <c r="W22" s="2">
        <v>236.42</v>
      </c>
      <c r="X22" s="2">
        <v>4.3600000000000003</v>
      </c>
      <c r="Y22" s="2">
        <v>0</v>
      </c>
      <c r="Z22" s="2">
        <v>0</v>
      </c>
      <c r="AA22" s="2">
        <v>0</v>
      </c>
      <c r="AB22" s="2">
        <v>0</v>
      </c>
      <c r="AC22" s="2">
        <v>2986.15</v>
      </c>
      <c r="AD22" t="s">
        <v>26</v>
      </c>
      <c r="AL22" s="8">
        <v>45261</v>
      </c>
      <c r="AM22" s="5">
        <v>5.44</v>
      </c>
      <c r="AN22" s="4">
        <f t="shared" si="1"/>
        <v>4.4240812097819937E-3</v>
      </c>
      <c r="AO22" s="4"/>
      <c r="AP22" s="4"/>
      <c r="AQ22" s="4"/>
      <c r="AR22" s="4"/>
      <c r="AS22" s="8">
        <v>45231</v>
      </c>
      <c r="AT22" s="5">
        <v>4460.0600000000004</v>
      </c>
      <c r="AU22" s="4">
        <f t="shared" si="3"/>
        <v>4.4657328898674471E-2</v>
      </c>
      <c r="AV22" s="4"/>
      <c r="AW22" s="4"/>
      <c r="AX22" s="4"/>
      <c r="AY22" s="4"/>
      <c r="AZ22" s="4"/>
      <c r="BA22" s="4"/>
      <c r="BB22" s="88">
        <v>45261</v>
      </c>
      <c r="BC22" s="86">
        <f t="shared" si="2"/>
        <v>8.2977289840439172E-2</v>
      </c>
      <c r="BE22" s="79"/>
      <c r="BF22" s="79" vm="27">
        <f ca="1"/>
        <v>45231</v>
      </c>
      <c r="BG22" s="79" vm="28">
        <f ca="1"/>
        <v>35950.892699999997</v>
      </c>
      <c r="BH22" s="82">
        <f t="shared" ca="1" si="4"/>
        <v>8.7678441054648837E-2</v>
      </c>
    </row>
    <row r="23" spans="1:60" ht="17" thickBot="1">
      <c r="A23" s="83" t="s">
        <v>174</v>
      </c>
      <c r="B23" s="87">
        <v>1.7276576405025064E-2</v>
      </c>
      <c r="C23" s="111">
        <v>1.4312318572147375E-4</v>
      </c>
      <c r="D23" s="111"/>
      <c r="E23" s="111">
        <v>1.0189644038787173E-2</v>
      </c>
      <c r="F23" s="111"/>
      <c r="G23" s="111">
        <v>1.7789012513012178E-2</v>
      </c>
      <c r="H23" s="111">
        <v>1.7789012513012178E-2</v>
      </c>
      <c r="I23" s="109">
        <v>3.9290988238629164E-2</v>
      </c>
      <c r="J23" s="109">
        <v>3.9290988238629164E-2</v>
      </c>
      <c r="K23" s="109">
        <v>6.0390771369353592E-3</v>
      </c>
      <c r="L23" s="109">
        <v>6.0390771369353592E-3</v>
      </c>
      <c r="M23" s="109">
        <v>1.2356316926427531E-2</v>
      </c>
      <c r="N23" s="109"/>
      <c r="O23" s="80">
        <v>45474</v>
      </c>
      <c r="P23" s="81">
        <v>3116.05</v>
      </c>
      <c r="Q23" s="81">
        <v>3114.82</v>
      </c>
      <c r="R23" s="82">
        <f t="shared" si="0"/>
        <v>-3.9473050817542018E-4</v>
      </c>
      <c r="U23" s="1">
        <v>45383</v>
      </c>
      <c r="V23" s="2">
        <v>2816.97</v>
      </c>
      <c r="W23" s="2">
        <v>-76.92</v>
      </c>
      <c r="X23" s="2">
        <v>2.15</v>
      </c>
      <c r="Y23" s="2">
        <v>0</v>
      </c>
      <c r="Z23" s="2">
        <v>0</v>
      </c>
      <c r="AA23" s="2">
        <v>0</v>
      </c>
      <c r="AB23" s="2">
        <v>0</v>
      </c>
      <c r="AC23" s="2">
        <v>2744.78</v>
      </c>
      <c r="AD23" t="s">
        <v>27</v>
      </c>
      <c r="AL23" s="8">
        <v>45292</v>
      </c>
      <c r="AM23" s="5">
        <v>5.45</v>
      </c>
      <c r="AN23" s="4">
        <f t="shared" si="1"/>
        <v>4.4320192189413188E-3</v>
      </c>
      <c r="AO23" s="4"/>
      <c r="AP23" s="4"/>
      <c r="AQ23" s="4"/>
      <c r="AR23" s="4"/>
      <c r="AS23" s="8">
        <v>45261</v>
      </c>
      <c r="AT23" s="5">
        <v>4685.05</v>
      </c>
      <c r="AU23" s="4">
        <f t="shared" si="3"/>
        <v>5.0445509701663151E-2</v>
      </c>
      <c r="AV23" s="4"/>
      <c r="AW23" s="4"/>
      <c r="AX23" s="4"/>
      <c r="AY23" s="4"/>
      <c r="AZ23" s="4"/>
      <c r="BA23" s="4"/>
      <c r="BB23" s="88">
        <v>45292</v>
      </c>
      <c r="BC23" s="86">
        <f t="shared" si="2"/>
        <v>1.5330617612388697E-2</v>
      </c>
      <c r="BE23" s="79"/>
      <c r="BF23" s="79" vm="29">
        <f ca="1"/>
        <v>45261</v>
      </c>
      <c r="BG23" s="79" vm="30">
        <f ca="1"/>
        <v>37689.5357</v>
      </c>
      <c r="BH23" s="82">
        <f t="shared" ca="1" si="4"/>
        <v>4.8361608556106973E-2</v>
      </c>
    </row>
    <row r="24" spans="1:60">
      <c r="O24" s="80">
        <v>45505</v>
      </c>
      <c r="P24" s="81">
        <v>3114.82</v>
      </c>
      <c r="Q24" s="81">
        <v>3282.91</v>
      </c>
      <c r="R24" s="82">
        <f t="shared" si="0"/>
        <v>5.3964595064883263E-2</v>
      </c>
      <c r="U24" s="1">
        <v>45352</v>
      </c>
      <c r="V24" s="2">
        <v>2846.65</v>
      </c>
      <c r="W24" s="2">
        <v>-32.700000000000003</v>
      </c>
      <c r="X24" s="2">
        <v>2.09</v>
      </c>
      <c r="Y24" s="2">
        <v>0</v>
      </c>
      <c r="Z24" s="2">
        <v>0</v>
      </c>
      <c r="AA24" s="2">
        <v>0</v>
      </c>
      <c r="AB24" s="2">
        <v>0</v>
      </c>
      <c r="AC24" s="2">
        <v>2816.97</v>
      </c>
      <c r="AD24" t="s">
        <v>28</v>
      </c>
      <c r="AL24" s="8">
        <v>45323</v>
      </c>
      <c r="AM24" s="5">
        <v>5.44</v>
      </c>
      <c r="AN24" s="4">
        <f t="shared" si="1"/>
        <v>4.4240812097819937E-3</v>
      </c>
      <c r="AO24" s="4"/>
      <c r="AP24" s="4"/>
      <c r="AQ24" s="4"/>
      <c r="AR24" s="4"/>
      <c r="AS24" s="8">
        <v>45292</v>
      </c>
      <c r="AT24" s="5">
        <v>4804.49</v>
      </c>
      <c r="AU24" s="4">
        <f t="shared" si="3"/>
        <v>2.5493858123178961E-2</v>
      </c>
      <c r="AV24" s="4"/>
      <c r="AW24" s="4"/>
      <c r="AX24" s="4"/>
      <c r="AY24" s="4"/>
      <c r="AZ24" s="4"/>
      <c r="BA24" s="4"/>
      <c r="BB24" s="88">
        <v>45323</v>
      </c>
      <c r="BC24" s="86">
        <f t="shared" si="2"/>
        <v>4.9992269994408159E-2</v>
      </c>
      <c r="BE24" s="79"/>
      <c r="BF24" s="79" vm="31">
        <f ca="1"/>
        <v>45292</v>
      </c>
      <c r="BG24" s="79" vm="32">
        <f ca="1"/>
        <v>38150.2958</v>
      </c>
      <c r="BH24" s="82">
        <f t="shared" ca="1" si="4"/>
        <v>1.2225146620736947E-2</v>
      </c>
    </row>
    <row r="25" spans="1:60">
      <c r="B25" s="107"/>
      <c r="O25" s="80">
        <v>45536</v>
      </c>
      <c r="P25" s="81">
        <v>3282.91</v>
      </c>
      <c r="Q25" s="81">
        <v>3309.42</v>
      </c>
      <c r="R25" s="82">
        <f t="shared" si="0"/>
        <v>8.0751528369648329E-3</v>
      </c>
      <c r="U25" s="1">
        <v>45323</v>
      </c>
      <c r="V25" s="2">
        <v>2699.74</v>
      </c>
      <c r="W25" s="2">
        <v>142.35</v>
      </c>
      <c r="X25" s="2">
        <v>3.95</v>
      </c>
      <c r="Y25" s="2">
        <v>0</v>
      </c>
      <c r="Z25" s="2">
        <v>0</v>
      </c>
      <c r="AA25" s="2">
        <v>0</v>
      </c>
      <c r="AB25" s="2">
        <v>0</v>
      </c>
      <c r="AC25" s="2">
        <v>2846.65</v>
      </c>
      <c r="AD25" t="s">
        <v>29</v>
      </c>
      <c r="AL25" s="8">
        <v>45352</v>
      </c>
      <c r="AM25" s="5">
        <v>5.47</v>
      </c>
      <c r="AN25" s="4">
        <f t="shared" si="1"/>
        <v>4.4478931673448407E-3</v>
      </c>
      <c r="AO25" s="4"/>
      <c r="AP25" s="4"/>
      <c r="AQ25" s="4"/>
      <c r="AR25" s="4"/>
      <c r="AS25" s="8">
        <v>45323</v>
      </c>
      <c r="AT25" s="5">
        <v>5011.96</v>
      </c>
      <c r="AU25" s="4">
        <f t="shared" si="3"/>
        <v>4.3182523014929843E-2</v>
      </c>
      <c r="AV25" s="4"/>
      <c r="AW25" s="4"/>
      <c r="AX25" s="4"/>
      <c r="AY25" s="4"/>
      <c r="AZ25" s="4"/>
      <c r="BA25" s="4"/>
      <c r="BB25" s="88">
        <v>45352</v>
      </c>
      <c r="BC25" s="86">
        <f t="shared" si="2"/>
        <v>-1.4874183719397355E-2</v>
      </c>
      <c r="BE25" s="79"/>
      <c r="BF25" s="79" vm="33">
        <f ca="1"/>
        <v>45323</v>
      </c>
      <c r="BG25" s="79" vm="34">
        <f ca="1"/>
        <v>38996.385499999997</v>
      </c>
      <c r="BH25" s="82">
        <f t="shared" ca="1" si="4"/>
        <v>2.2177801829782847E-2</v>
      </c>
    </row>
    <row r="26" spans="1:60">
      <c r="E26" s="86"/>
      <c r="F26" s="86"/>
      <c r="O26" s="80">
        <v>45566</v>
      </c>
      <c r="P26" s="81">
        <v>3309.42</v>
      </c>
      <c r="Q26" s="81">
        <v>3254.02</v>
      </c>
      <c r="R26" s="82">
        <f t="shared" si="0"/>
        <v>-1.6740093430268776E-2</v>
      </c>
      <c r="U26" s="1">
        <v>45292</v>
      </c>
      <c r="V26" s="2">
        <v>2647.42</v>
      </c>
      <c r="W26" s="2">
        <v>20</v>
      </c>
      <c r="X26" s="2">
        <v>32.049999999999997</v>
      </c>
      <c r="Y26" s="2">
        <v>0</v>
      </c>
      <c r="Z26" s="2">
        <v>0</v>
      </c>
      <c r="AA26" s="2">
        <v>0</v>
      </c>
      <c r="AB26" s="2">
        <v>0</v>
      </c>
      <c r="AC26" s="2">
        <v>2699.74</v>
      </c>
      <c r="AD26" t="s">
        <v>30</v>
      </c>
      <c r="AL26" s="8">
        <v>45383</v>
      </c>
      <c r="AM26" s="5">
        <v>5.44</v>
      </c>
      <c r="AN26" s="4">
        <f t="shared" si="1"/>
        <v>4.4240812097819937E-3</v>
      </c>
      <c r="AO26" s="4"/>
      <c r="AP26" s="4"/>
      <c r="AQ26" s="4"/>
      <c r="AR26" s="4"/>
      <c r="AS26" s="8">
        <v>45352</v>
      </c>
      <c r="AT26" s="5">
        <v>5170.57</v>
      </c>
      <c r="AU26" s="4">
        <f t="shared" si="3"/>
        <v>3.1646302045507078E-2</v>
      </c>
      <c r="AV26" s="4"/>
      <c r="AW26" s="4"/>
      <c r="AX26" s="4"/>
      <c r="AY26" s="4"/>
      <c r="AZ26" s="4"/>
      <c r="BA26" s="4"/>
      <c r="BB26" s="88">
        <v>45383</v>
      </c>
      <c r="BC26" s="86">
        <f t="shared" si="2"/>
        <v>-3.0050907196569075E-2</v>
      </c>
      <c r="BE26" s="79"/>
      <c r="BF26" s="79" vm="35">
        <f ca="1"/>
        <v>45352</v>
      </c>
      <c r="BG26" s="79" vm="36">
        <f ca="1"/>
        <v>39807.374499999998</v>
      </c>
      <c r="BH26" s="82">
        <f t="shared" ca="1" si="4"/>
        <v>2.0796517154134747E-2</v>
      </c>
    </row>
    <row r="27" spans="1:60">
      <c r="E27" s="86"/>
      <c r="F27" s="86"/>
      <c r="O27" s="80">
        <v>45597</v>
      </c>
      <c r="P27" s="81">
        <v>3254.02</v>
      </c>
      <c r="Q27" s="81">
        <v>3509.86</v>
      </c>
      <c r="R27" s="82">
        <f t="shared" si="0"/>
        <v>7.8622749706516906E-2</v>
      </c>
      <c r="U27" s="1">
        <v>45261</v>
      </c>
      <c r="V27" s="2">
        <v>2434.63</v>
      </c>
      <c r="W27" s="2">
        <v>179.9</v>
      </c>
      <c r="X27" s="2">
        <v>2.0299999999999998</v>
      </c>
      <c r="Y27" s="2">
        <v>0</v>
      </c>
      <c r="Z27" s="2">
        <v>0</v>
      </c>
      <c r="AA27" s="2">
        <v>0</v>
      </c>
      <c r="AB27" s="2">
        <v>0</v>
      </c>
      <c r="AC27" s="2">
        <v>2647.42</v>
      </c>
      <c r="AD27" t="s">
        <v>31</v>
      </c>
      <c r="AL27" s="8">
        <v>45413</v>
      </c>
      <c r="AM27" s="5">
        <v>5.46</v>
      </c>
      <c r="AN27" s="4">
        <f t="shared" si="1"/>
        <v>4.439956538087042E-3</v>
      </c>
      <c r="AO27" s="4"/>
      <c r="AP27" s="4"/>
      <c r="AQ27" s="4"/>
      <c r="AR27" s="4"/>
      <c r="AS27" s="8">
        <v>45383</v>
      </c>
      <c r="AT27" s="5">
        <v>5112.49</v>
      </c>
      <c r="AU27" s="4">
        <f t="shared" si="3"/>
        <v>-1.123280412024205E-2</v>
      </c>
      <c r="AV27" s="4"/>
      <c r="AW27" s="4"/>
      <c r="AX27" s="4"/>
      <c r="AY27" s="4"/>
      <c r="AZ27" s="4"/>
      <c r="BA27" s="4"/>
      <c r="BB27" s="88">
        <v>45413</v>
      </c>
      <c r="BC27" s="86">
        <f t="shared" si="2"/>
        <v>8.34978745449141E-2</v>
      </c>
      <c r="BE27" s="79"/>
      <c r="BF27" s="79" vm="37">
        <f ca="1"/>
        <v>45383</v>
      </c>
      <c r="BG27" s="79" vm="38">
        <f ca="1"/>
        <v>37815.915999999997</v>
      </c>
      <c r="BH27" s="82">
        <f t="shared" ca="1" si="4"/>
        <v>-5.0027376208898196E-2</v>
      </c>
    </row>
    <row r="28" spans="1:60">
      <c r="E28" s="86"/>
      <c r="F28" s="86"/>
      <c r="O28" s="80">
        <v>45627</v>
      </c>
      <c r="P28" s="81">
        <v>3509.86</v>
      </c>
      <c r="Q28" s="81">
        <v>3393.34</v>
      </c>
      <c r="R28" s="82">
        <f t="shared" si="0"/>
        <v>-3.3197905329557298E-2</v>
      </c>
      <c r="U28" s="1">
        <v>45231</v>
      </c>
      <c r="V28" s="2">
        <v>2267.09</v>
      </c>
      <c r="W28" s="2">
        <v>163.01</v>
      </c>
      <c r="X28" s="2">
        <v>3.82</v>
      </c>
      <c r="Y28" s="2">
        <v>0</v>
      </c>
      <c r="Z28" s="2">
        <v>0</v>
      </c>
      <c r="AA28" s="2">
        <v>0</v>
      </c>
      <c r="AB28" s="2">
        <v>0</v>
      </c>
      <c r="AC28" s="2">
        <v>2434.63</v>
      </c>
      <c r="AD28" t="s">
        <v>32</v>
      </c>
      <c r="AL28" s="8">
        <v>45444</v>
      </c>
      <c r="AM28" s="5">
        <v>5.51</v>
      </c>
      <c r="AN28" s="4">
        <f t="shared" si="1"/>
        <v>4.4796327880016751E-3</v>
      </c>
      <c r="AO28" s="4"/>
      <c r="AP28" s="4"/>
      <c r="AQ28" s="4"/>
      <c r="AR28" s="4"/>
      <c r="AS28" s="8">
        <v>45413</v>
      </c>
      <c r="AT28" s="5">
        <v>5235.2299999999996</v>
      </c>
      <c r="AU28" s="4">
        <f t="shared" si="3"/>
        <v>2.4007870920040877E-2</v>
      </c>
      <c r="AV28" s="4"/>
      <c r="AW28" s="4"/>
      <c r="AX28" s="4"/>
      <c r="AY28" s="4"/>
      <c r="AZ28" s="4"/>
      <c r="BA28" s="4"/>
      <c r="BB28" s="88">
        <v>45444</v>
      </c>
      <c r="BC28" s="86">
        <f t="shared" si="2"/>
        <v>3.9021196038413641E-2</v>
      </c>
      <c r="BE28" s="79"/>
      <c r="BF28" s="79" vm="39">
        <f ca="1"/>
        <v>45413</v>
      </c>
      <c r="BG28" s="79" vm="40">
        <f ca="1"/>
        <v>38686.321900000003</v>
      </c>
      <c r="BH28" s="82">
        <f t="shared" ca="1" si="4"/>
        <v>2.3016919648330223E-2</v>
      </c>
    </row>
    <row r="29" spans="1:60">
      <c r="E29" s="86"/>
      <c r="F29" s="86"/>
      <c r="O29" s="80">
        <v>45658</v>
      </c>
      <c r="P29" s="81">
        <v>3393.34</v>
      </c>
      <c r="Q29" s="81">
        <v>3535.45</v>
      </c>
      <c r="R29" s="82">
        <f t="shared" si="0"/>
        <v>4.1879092575456529E-2</v>
      </c>
      <c r="U29" s="1">
        <v>45200</v>
      </c>
      <c r="V29" s="2">
        <v>2301.77</v>
      </c>
      <c r="W29" s="2">
        <v>-36.93</v>
      </c>
      <c r="X29" s="2">
        <v>2</v>
      </c>
      <c r="Y29" s="2">
        <v>0</v>
      </c>
      <c r="Z29" s="2">
        <v>0</v>
      </c>
      <c r="AA29" s="2">
        <v>0</v>
      </c>
      <c r="AB29" s="2">
        <v>0</v>
      </c>
      <c r="AC29" s="2">
        <v>2267.09</v>
      </c>
      <c r="AD29" t="s">
        <v>33</v>
      </c>
      <c r="AL29" s="8">
        <v>45474</v>
      </c>
      <c r="AM29" s="5">
        <v>5.43</v>
      </c>
      <c r="AN29" s="4">
        <f t="shared" si="1"/>
        <v>4.4161425104838337E-3</v>
      </c>
      <c r="AO29" s="4"/>
      <c r="AP29" s="4"/>
      <c r="AQ29" s="4"/>
      <c r="AR29" s="4"/>
      <c r="AS29" s="8">
        <v>45444</v>
      </c>
      <c r="AT29" s="5">
        <v>5415.14</v>
      </c>
      <c r="AU29" s="4">
        <f t="shared" si="3"/>
        <v>3.4365252338483844E-2</v>
      </c>
      <c r="AV29" s="4"/>
      <c r="AW29" s="4"/>
      <c r="AX29" s="4"/>
      <c r="AY29" s="4"/>
      <c r="AZ29" s="4"/>
      <c r="BA29" s="4"/>
      <c r="BB29" s="88">
        <v>45474</v>
      </c>
      <c r="BC29" s="86">
        <f t="shared" si="2"/>
        <v>-4.8108730186592541E-3</v>
      </c>
      <c r="BE29" s="79"/>
      <c r="BF29" s="79" vm="41">
        <f ca="1"/>
        <v>45444</v>
      </c>
      <c r="BG29" s="79" vm="42">
        <f ca="1"/>
        <v>39118.864200000004</v>
      </c>
      <c r="BH29" s="82">
        <f t="shared" ca="1" si="4"/>
        <v>1.1180755335647479E-2</v>
      </c>
    </row>
    <row r="30" spans="1:60">
      <c r="C30" s="108"/>
      <c r="D30" s="108"/>
      <c r="E30" s="86"/>
      <c r="F30" s="86"/>
      <c r="O30" s="80">
        <v>45689</v>
      </c>
      <c r="P30" s="81">
        <v>3535.45</v>
      </c>
      <c r="Q30" s="81">
        <v>3674.3</v>
      </c>
      <c r="R30" s="82">
        <f t="shared" si="0"/>
        <v>3.9273642676321364E-2</v>
      </c>
      <c r="U30" s="1">
        <v>45170</v>
      </c>
      <c r="V30" s="2">
        <v>2325.7800000000002</v>
      </c>
      <c r="W30" s="2">
        <v>-28.71</v>
      </c>
      <c r="X30" s="2">
        <v>3.78</v>
      </c>
      <c r="Y30" s="2">
        <v>0</v>
      </c>
      <c r="Z30" s="2">
        <v>0</v>
      </c>
      <c r="AA30" s="2">
        <v>0</v>
      </c>
      <c r="AB30" s="2">
        <v>0</v>
      </c>
      <c r="AC30" s="2">
        <v>2301.77</v>
      </c>
      <c r="AD30" t="s">
        <v>34</v>
      </c>
      <c r="AL30" s="8">
        <v>45505</v>
      </c>
      <c r="AM30" s="5">
        <v>5.3</v>
      </c>
      <c r="AN30" s="4">
        <f t="shared" si="1"/>
        <v>4.3128765598297036E-3</v>
      </c>
      <c r="AO30" s="4"/>
      <c r="AP30" s="4"/>
      <c r="AQ30" s="4"/>
      <c r="AR30" s="4"/>
      <c r="AS30" s="8">
        <v>45474</v>
      </c>
      <c r="AT30" s="5">
        <v>5538</v>
      </c>
      <c r="AU30" s="4">
        <f t="shared" si="3"/>
        <v>2.2688240747238238E-2</v>
      </c>
      <c r="AV30" s="4"/>
      <c r="AW30" s="4"/>
      <c r="AX30" s="4"/>
      <c r="AY30" s="4"/>
      <c r="AZ30" s="4"/>
      <c r="BA30" s="4"/>
      <c r="BB30" s="88">
        <v>45505</v>
      </c>
      <c r="BC30" s="86">
        <f t="shared" si="2"/>
        <v>4.9651718505053559E-2</v>
      </c>
      <c r="BE30" s="79"/>
      <c r="BF30" s="79" vm="43">
        <f ca="1"/>
        <v>45474</v>
      </c>
      <c r="BG30" s="79" vm="44">
        <f ca="1"/>
        <v>40842.792300000001</v>
      </c>
      <c r="BH30" s="82">
        <f t="shared" ca="1" si="4"/>
        <v>4.4068971204946107E-2</v>
      </c>
    </row>
    <row r="31" spans="1:60">
      <c r="C31" s="108"/>
      <c r="D31" s="108"/>
      <c r="E31" s="86"/>
      <c r="F31" s="86"/>
      <c r="O31" s="80">
        <v>45717</v>
      </c>
      <c r="P31" s="81">
        <v>3674.3</v>
      </c>
      <c r="Q31" s="81">
        <v>3387.16</v>
      </c>
      <c r="R31" s="82">
        <f t="shared" si="0"/>
        <v>-7.8148218708325487E-2</v>
      </c>
      <c r="U31" s="1">
        <v>45139</v>
      </c>
      <c r="V31" s="2">
        <v>2386.6999999999998</v>
      </c>
      <c r="W31" s="2">
        <v>-65.33</v>
      </c>
      <c r="X31" s="2">
        <v>1.86</v>
      </c>
      <c r="Y31" s="2">
        <v>0</v>
      </c>
      <c r="Z31" s="2">
        <v>0</v>
      </c>
      <c r="AA31" s="2">
        <v>0</v>
      </c>
      <c r="AB31" s="2">
        <v>0</v>
      </c>
      <c r="AC31" s="2">
        <v>2325.7800000000002</v>
      </c>
      <c r="AD31" t="s">
        <v>35</v>
      </c>
      <c r="AL31" s="8">
        <v>45536</v>
      </c>
      <c r="AM31" s="5">
        <v>4.92</v>
      </c>
      <c r="AN31" s="4">
        <f t="shared" si="1"/>
        <v>4.0103507726252374E-3</v>
      </c>
      <c r="AO31" s="4"/>
      <c r="AP31" s="4"/>
      <c r="AQ31" s="4"/>
      <c r="AR31" s="4"/>
      <c r="AS31" s="8">
        <v>45505</v>
      </c>
      <c r="AT31" s="5">
        <v>5478.21</v>
      </c>
      <c r="AU31" s="4">
        <f t="shared" si="3"/>
        <v>-1.0796316359696636E-2</v>
      </c>
      <c r="AV31" s="4"/>
      <c r="AW31" s="4"/>
      <c r="AX31" s="4"/>
      <c r="AY31" s="4"/>
      <c r="AZ31" s="4"/>
      <c r="BA31" s="4"/>
      <c r="BB31" s="88">
        <v>45536</v>
      </c>
      <c r="BC31" s="86">
        <f t="shared" si="2"/>
        <v>4.0648020643395955E-3</v>
      </c>
      <c r="BE31" s="79"/>
      <c r="BF31" s="79" vm="45">
        <f ca="1"/>
        <v>45505</v>
      </c>
      <c r="BG31" s="79" vm="46">
        <f ca="1"/>
        <v>41563.08</v>
      </c>
      <c r="BH31" s="82">
        <f t="shared" ca="1" si="4"/>
        <v>1.7635613518030713E-2</v>
      </c>
    </row>
    <row r="32" spans="1:60">
      <c r="C32" s="108"/>
      <c r="D32" s="108"/>
      <c r="E32" s="86"/>
      <c r="F32" s="86"/>
      <c r="O32" s="80">
        <v>45748</v>
      </c>
      <c r="P32" s="81">
        <v>3387.16</v>
      </c>
      <c r="Q32" s="81">
        <v>3433.57</v>
      </c>
      <c r="R32" s="82">
        <f t="shared" si="0"/>
        <v>1.3701744234107721E-2</v>
      </c>
      <c r="U32" s="1">
        <v>45108</v>
      </c>
      <c r="V32" s="2">
        <v>2326.0500000000002</v>
      </c>
      <c r="W32" s="2">
        <v>58.54</v>
      </c>
      <c r="X32" s="2">
        <v>1.78</v>
      </c>
      <c r="Y32" s="2">
        <v>0</v>
      </c>
      <c r="Z32" s="2">
        <v>0</v>
      </c>
      <c r="AA32" s="2">
        <v>0</v>
      </c>
      <c r="AB32" s="2">
        <v>0</v>
      </c>
      <c r="AC32" s="2">
        <v>2386.6999999999998</v>
      </c>
      <c r="AD32" t="s">
        <v>36</v>
      </c>
      <c r="AL32" s="8">
        <v>45566</v>
      </c>
      <c r="AM32" s="5">
        <v>4.72</v>
      </c>
      <c r="AN32" s="4">
        <f t="shared" si="1"/>
        <v>3.8507230235700352E-3</v>
      </c>
      <c r="AO32" s="4"/>
      <c r="AP32" s="4"/>
      <c r="AQ32" s="4"/>
      <c r="AR32" s="4"/>
      <c r="AS32" s="8">
        <v>45536</v>
      </c>
      <c r="AT32" s="5">
        <v>5621.26</v>
      </c>
      <c r="AU32" s="4">
        <f t="shared" si="3"/>
        <v>2.6112544060925044E-2</v>
      </c>
      <c r="AV32" s="4"/>
      <c r="AW32" s="4"/>
      <c r="AX32" s="4"/>
      <c r="AY32" s="4"/>
      <c r="AZ32" s="4"/>
      <c r="BA32" s="4"/>
      <c r="BB32" s="88">
        <v>45566</v>
      </c>
      <c r="BC32" s="86">
        <f t="shared" si="2"/>
        <v>-2.0590816453838812E-2</v>
      </c>
      <c r="BE32" s="79"/>
      <c r="BF32" s="79" vm="47">
        <f ca="1"/>
        <v>45536</v>
      </c>
      <c r="BG32" s="79" vm="48">
        <f ca="1"/>
        <v>42330.15</v>
      </c>
      <c r="BH32" s="82">
        <f t="shared" ca="1" si="4"/>
        <v>1.8455562003585866E-2</v>
      </c>
    </row>
    <row r="33" spans="3:60">
      <c r="C33" s="108"/>
      <c r="D33" s="108"/>
      <c r="E33" s="86"/>
      <c r="F33" s="86"/>
      <c r="O33" s="80">
        <v>45778</v>
      </c>
      <c r="P33" s="81">
        <v>3433.57</v>
      </c>
      <c r="Q33" s="81">
        <v>3536.27</v>
      </c>
      <c r="R33" s="82">
        <f t="shared" si="0"/>
        <v>2.9910559563369851E-2</v>
      </c>
      <c r="U33" s="1">
        <v>45078</v>
      </c>
      <c r="V33" s="2">
        <v>2212.79</v>
      </c>
      <c r="W33" s="2">
        <v>110.56</v>
      </c>
      <c r="X33" s="2">
        <v>1.92</v>
      </c>
      <c r="Y33" s="2">
        <v>0</v>
      </c>
      <c r="Z33" s="2">
        <v>0</v>
      </c>
      <c r="AA33" s="2">
        <v>0</v>
      </c>
      <c r="AB33" s="2">
        <v>0</v>
      </c>
      <c r="AC33" s="2">
        <v>2326.0500000000002</v>
      </c>
      <c r="AD33" t="s">
        <v>37</v>
      </c>
      <c r="AL33" s="8">
        <v>45597</v>
      </c>
      <c r="AM33" s="5">
        <v>4.62</v>
      </c>
      <c r="AN33" s="4">
        <f t="shared" si="1"/>
        <v>3.7708043235686883E-3</v>
      </c>
      <c r="AO33" s="4"/>
      <c r="AP33" s="4"/>
      <c r="AQ33" s="4"/>
      <c r="AR33" s="4"/>
      <c r="AS33" s="8">
        <v>45566</v>
      </c>
      <c r="AT33" s="5">
        <v>5792.32</v>
      </c>
      <c r="AU33" s="4">
        <f t="shared" si="3"/>
        <v>3.043089983384499E-2</v>
      </c>
      <c r="AV33" s="4"/>
      <c r="AW33" s="4"/>
      <c r="AX33" s="4"/>
      <c r="AY33" s="4"/>
      <c r="AZ33" s="4"/>
      <c r="BA33" s="4"/>
      <c r="BB33" s="88">
        <v>45597</v>
      </c>
      <c r="BC33" s="86">
        <f t="shared" si="2"/>
        <v>7.4851945382948218E-2</v>
      </c>
      <c r="BE33" s="79"/>
      <c r="BF33" s="79" vm="49">
        <f ca="1"/>
        <v>45566</v>
      </c>
      <c r="BG33" s="79" vm="50">
        <f ca="1"/>
        <v>41763.46</v>
      </c>
      <c r="BH33" s="82">
        <f t="shared" ca="1" si="4"/>
        <v>-1.3387384641916042E-2</v>
      </c>
    </row>
    <row r="34" spans="3:60">
      <c r="C34" s="108"/>
      <c r="D34" s="108"/>
      <c r="E34" s="86"/>
      <c r="F34" s="86"/>
      <c r="O34" s="80">
        <v>45809</v>
      </c>
      <c r="P34" s="81">
        <v>3536.27</v>
      </c>
      <c r="Q34" s="81">
        <v>3482.13</v>
      </c>
      <c r="R34" s="82">
        <f t="shared" si="0"/>
        <v>-1.5309916946386976E-2</v>
      </c>
      <c r="U34" s="1">
        <v>45047</v>
      </c>
      <c r="V34" s="2">
        <v>2186.14</v>
      </c>
      <c r="W34" s="2">
        <v>22.19</v>
      </c>
      <c r="X34" s="2">
        <v>3.67</v>
      </c>
      <c r="Y34" s="2">
        <v>0</v>
      </c>
      <c r="Z34" s="2">
        <v>0</v>
      </c>
      <c r="AA34" s="2">
        <v>0</v>
      </c>
      <c r="AB34" s="2">
        <v>0</v>
      </c>
      <c r="AC34" s="2">
        <v>2212.79</v>
      </c>
      <c r="AD34" t="s">
        <v>38</v>
      </c>
      <c r="AL34" s="8">
        <v>45627</v>
      </c>
      <c r="AM34" s="5">
        <v>4.3899999999999997</v>
      </c>
      <c r="AN34" s="4">
        <f t="shared" si="1"/>
        <v>3.5867252456669441E-3</v>
      </c>
      <c r="AO34" s="4"/>
      <c r="AP34" s="4"/>
      <c r="AQ34" s="4"/>
      <c r="AR34" s="4"/>
      <c r="AS34" s="8">
        <v>45597</v>
      </c>
      <c r="AT34" s="5">
        <v>5929.92</v>
      </c>
      <c r="AU34" s="4">
        <f t="shared" si="3"/>
        <v>2.3755593613612572E-2</v>
      </c>
      <c r="AV34" s="4"/>
      <c r="AW34" s="4"/>
      <c r="AX34" s="4"/>
      <c r="AY34" s="4"/>
      <c r="AZ34" s="4"/>
      <c r="BA34" s="4"/>
      <c r="BB34" s="88">
        <v>45627</v>
      </c>
      <c r="BC34" s="86">
        <f t="shared" si="2"/>
        <v>-3.6784630575224242E-2</v>
      </c>
      <c r="BE34" s="79"/>
      <c r="BF34" s="79" vm="51">
        <f ca="1"/>
        <v>45597</v>
      </c>
      <c r="BG34" s="79" vm="52">
        <f ca="1"/>
        <v>44910.65</v>
      </c>
      <c r="BH34" s="82">
        <f t="shared" ca="1" si="4"/>
        <v>7.5357501509692976E-2</v>
      </c>
    </row>
    <row r="35" spans="3:60">
      <c r="C35" s="108"/>
      <c r="D35" s="108"/>
      <c r="E35" s="86"/>
      <c r="F35" s="86"/>
      <c r="O35" s="80">
        <v>45839</v>
      </c>
      <c r="P35" s="81">
        <v>3482.13</v>
      </c>
      <c r="Q35" s="81">
        <v>3386.21</v>
      </c>
      <c r="R35" s="82">
        <f t="shared" si="0"/>
        <v>-2.754635811988641E-2</v>
      </c>
      <c r="U35" s="1">
        <v>45017</v>
      </c>
      <c r="V35" s="2">
        <v>2155.73</v>
      </c>
      <c r="W35" s="2">
        <v>28.49</v>
      </c>
      <c r="X35" s="2">
        <v>1.74</v>
      </c>
      <c r="Y35" s="2">
        <v>0</v>
      </c>
      <c r="Z35" s="2">
        <v>0</v>
      </c>
      <c r="AA35" s="2">
        <v>0</v>
      </c>
      <c r="AB35" s="2">
        <v>0</v>
      </c>
      <c r="AC35" s="2">
        <v>2186.14</v>
      </c>
      <c r="AD35" t="s">
        <v>39</v>
      </c>
      <c r="AL35" s="8">
        <v>45658</v>
      </c>
      <c r="AM35" s="5">
        <v>4.34</v>
      </c>
      <c r="AN35" s="4">
        <f t="shared" si="1"/>
        <v>3.5466588636137164E-3</v>
      </c>
      <c r="AO35" s="4"/>
      <c r="AP35" s="4"/>
      <c r="AQ35" s="4"/>
      <c r="AR35" s="4"/>
      <c r="AS35" s="8">
        <v>45627</v>
      </c>
      <c r="AT35" s="5">
        <v>6010.91</v>
      </c>
      <c r="AU35" s="4">
        <f t="shared" si="3"/>
        <v>1.3657857104311657E-2</v>
      </c>
      <c r="AV35" s="4"/>
      <c r="AW35" s="4"/>
      <c r="AX35" s="4"/>
      <c r="AY35" s="4"/>
      <c r="AZ35" s="4"/>
      <c r="BA35" s="4"/>
      <c r="BB35" s="88">
        <v>45658</v>
      </c>
      <c r="BC35" s="86">
        <f t="shared" si="2"/>
        <v>3.8332433711842813E-2</v>
      </c>
      <c r="BE35" s="79"/>
      <c r="BF35" s="79" vm="53">
        <f ca="1"/>
        <v>45627</v>
      </c>
      <c r="BG35" s="79" vm="54">
        <f ca="1"/>
        <v>42544.22</v>
      </c>
      <c r="BH35" s="82">
        <f t="shared" ca="1" si="4"/>
        <v>-5.2691956139579367E-2</v>
      </c>
    </row>
    <row r="36" spans="3:60">
      <c r="C36" s="108"/>
      <c r="D36" s="108"/>
      <c r="E36" s="86"/>
      <c r="F36" s="86"/>
      <c r="O36" s="80">
        <v>45870</v>
      </c>
      <c r="P36" s="81">
        <v>3386.21</v>
      </c>
      <c r="Q36" s="81">
        <v>3486.14</v>
      </c>
      <c r="R36" s="82">
        <f t="shared" si="0"/>
        <v>2.9510869083724824E-2</v>
      </c>
      <c r="U36" s="1">
        <v>44986</v>
      </c>
      <c r="V36" s="2">
        <v>2069.23</v>
      </c>
      <c r="W36" s="2">
        <v>84.02</v>
      </c>
      <c r="X36" s="2">
        <v>1.62</v>
      </c>
      <c r="Y36" s="2">
        <v>0</v>
      </c>
      <c r="Z36" s="2">
        <v>0</v>
      </c>
      <c r="AA36" s="2">
        <v>0</v>
      </c>
      <c r="AB36" s="2">
        <v>0</v>
      </c>
      <c r="AC36" s="2">
        <v>2155.73</v>
      </c>
      <c r="AD36" t="s">
        <v>40</v>
      </c>
      <c r="AL36" s="8">
        <v>45689</v>
      </c>
      <c r="AM36" s="5">
        <v>4.33</v>
      </c>
      <c r="AN36" s="4">
        <f t="shared" si="1"/>
        <v>3.5386434752657792E-3</v>
      </c>
      <c r="AO36" s="4"/>
      <c r="AP36" s="4"/>
      <c r="AQ36" s="4"/>
      <c r="AR36" s="4"/>
      <c r="AS36" s="8">
        <v>45658</v>
      </c>
      <c r="AT36" s="5">
        <v>5979.52</v>
      </c>
      <c r="AU36" s="4">
        <f t="shared" si="3"/>
        <v>-5.2221710190302993E-3</v>
      </c>
      <c r="AV36" s="4"/>
      <c r="AW36" s="4"/>
      <c r="AX36" s="4"/>
      <c r="AY36" s="4"/>
      <c r="AZ36" s="4"/>
      <c r="BA36" s="4"/>
      <c r="BB36" s="88">
        <v>45689</v>
      </c>
      <c r="BC36" s="86">
        <f t="shared" si="2"/>
        <v>3.5734999201055585E-2</v>
      </c>
      <c r="BE36" s="79"/>
      <c r="BF36" s="79" vm="55">
        <f ca="1"/>
        <v>45658</v>
      </c>
      <c r="BG36" s="79" vm="56">
        <f ca="1"/>
        <v>44544.66</v>
      </c>
      <c r="BH36" s="82">
        <f t="shared" ca="1" si="4"/>
        <v>4.7020253279999077E-2</v>
      </c>
    </row>
    <row r="37" spans="3:60">
      <c r="C37" s="108"/>
      <c r="D37" s="108"/>
      <c r="E37" s="86"/>
      <c r="F37" s="86"/>
      <c r="O37" s="80">
        <v>45901</v>
      </c>
      <c r="P37" s="81">
        <v>3486.14</v>
      </c>
      <c r="Q37" s="81">
        <v>3521.24</v>
      </c>
      <c r="R37" s="82">
        <f t="shared" si="0"/>
        <v>1.0068442460715837E-2</v>
      </c>
      <c r="U37" s="1">
        <v>44958</v>
      </c>
      <c r="V37" s="2">
        <v>2115.6</v>
      </c>
      <c r="W37" s="2">
        <v>-50.22</v>
      </c>
      <c r="X37" s="2">
        <v>3.3</v>
      </c>
      <c r="Y37" s="2">
        <v>0</v>
      </c>
      <c r="Z37" s="2">
        <v>0</v>
      </c>
      <c r="AA37" s="2">
        <v>0</v>
      </c>
      <c r="AB37" s="2">
        <v>0</v>
      </c>
      <c r="AC37" s="2">
        <v>2069.23</v>
      </c>
      <c r="AD37" t="s">
        <v>41</v>
      </c>
      <c r="AL37" s="8">
        <v>45717</v>
      </c>
      <c r="AM37" s="5">
        <v>4.34</v>
      </c>
      <c r="AN37" s="4">
        <f t="shared" si="1"/>
        <v>3.5466588636137164E-3</v>
      </c>
      <c r="AO37" s="4"/>
      <c r="AP37" s="4"/>
      <c r="AQ37" s="4"/>
      <c r="AR37" s="4"/>
      <c r="AS37" s="8">
        <v>45689</v>
      </c>
      <c r="AT37" s="5">
        <v>6038.69</v>
      </c>
      <c r="AU37" s="4">
        <f t="shared" si="3"/>
        <v>9.8954431124904946E-3</v>
      </c>
      <c r="AV37" s="4"/>
      <c r="AW37" s="4"/>
      <c r="AX37" s="4"/>
      <c r="AY37" s="4"/>
      <c r="AZ37" s="4"/>
      <c r="BA37" s="4"/>
      <c r="BB37" s="88">
        <v>45717</v>
      </c>
      <c r="BC37" s="86">
        <f t="shared" si="2"/>
        <v>-8.1694877571939203E-2</v>
      </c>
      <c r="BE37" s="79"/>
      <c r="BF37" s="79" vm="57">
        <f ca="1"/>
        <v>45689</v>
      </c>
      <c r="BG37" s="79" vm="58">
        <f ca="1"/>
        <v>43840.91</v>
      </c>
      <c r="BH37" s="82">
        <f t="shared" ca="1" si="4"/>
        <v>-1.5798751185888499E-2</v>
      </c>
    </row>
    <row r="38" spans="3:60">
      <c r="C38" s="108"/>
      <c r="D38" s="108"/>
      <c r="E38" s="86"/>
      <c r="F38" s="86"/>
      <c r="O38" s="80" t="s">
        <v>160</v>
      </c>
      <c r="P38" s="81">
        <v>3521.24</v>
      </c>
      <c r="Q38" s="81">
        <v>3581.14</v>
      </c>
      <c r="R38" s="82">
        <v>1.701105E-2</v>
      </c>
      <c r="U38" s="1">
        <v>44927</v>
      </c>
      <c r="V38" s="2">
        <v>1892.55</v>
      </c>
      <c r="W38" s="2">
        <v>221.36</v>
      </c>
      <c r="X38" s="2">
        <v>1.41</v>
      </c>
      <c r="Y38" s="2">
        <v>0</v>
      </c>
      <c r="Z38" s="2">
        <v>0</v>
      </c>
      <c r="AA38" s="2">
        <v>0</v>
      </c>
      <c r="AB38" s="2">
        <v>0</v>
      </c>
      <c r="AC38" s="2">
        <v>2115.6</v>
      </c>
      <c r="AD38" t="s">
        <v>42</v>
      </c>
      <c r="AL38" s="8">
        <v>45748</v>
      </c>
      <c r="AM38" s="5">
        <v>4.32</v>
      </c>
      <c r="AN38" s="4">
        <f t="shared" si="1"/>
        <v>3.5306273826369861E-3</v>
      </c>
      <c r="AO38" s="4"/>
      <c r="AP38" s="4"/>
      <c r="AQ38" s="4"/>
      <c r="AR38" s="4"/>
      <c r="AS38" s="8">
        <v>45717</v>
      </c>
      <c r="AT38" s="5">
        <v>5683.98</v>
      </c>
      <c r="AU38" s="4">
        <f t="shared" si="3"/>
        <v>-5.8739561063740654E-2</v>
      </c>
      <c r="AV38" s="4"/>
      <c r="AW38" s="4"/>
      <c r="AX38" s="4"/>
      <c r="AY38" s="4"/>
      <c r="AZ38" s="4"/>
      <c r="BA38" s="4"/>
      <c r="BB38" s="88">
        <v>45748</v>
      </c>
      <c r="BC38" s="86">
        <f t="shared" si="2"/>
        <v>1.0171116851470735E-2</v>
      </c>
      <c r="BE38" s="79"/>
      <c r="BF38" s="79" vm="59">
        <f ca="1"/>
        <v>45717</v>
      </c>
      <c r="BG38" s="79" vm="60">
        <f ca="1"/>
        <v>42001.760000000002</v>
      </c>
      <c r="BH38" s="82">
        <f t="shared" ca="1" si="4"/>
        <v>-4.1950543453591664E-2</v>
      </c>
    </row>
    <row r="39" spans="3:60">
      <c r="C39" s="108"/>
      <c r="D39" s="108"/>
      <c r="E39" s="86"/>
      <c r="F39" s="86"/>
      <c r="U39" s="1">
        <v>44896</v>
      </c>
      <c r="V39" s="2">
        <v>1569.76</v>
      </c>
      <c r="W39" s="2">
        <v>-74.31</v>
      </c>
      <c r="X39" s="2">
        <v>3.21</v>
      </c>
      <c r="Y39" s="2">
        <v>0</v>
      </c>
      <c r="Z39" s="2">
        <v>393.14</v>
      </c>
      <c r="AA39" s="2">
        <v>0</v>
      </c>
      <c r="AB39" s="2">
        <v>0</v>
      </c>
      <c r="AC39" s="2">
        <v>1892.55</v>
      </c>
      <c r="AD39" t="s">
        <v>43</v>
      </c>
      <c r="AL39" s="8">
        <v>45778</v>
      </c>
      <c r="AM39" s="5">
        <v>4.3600000000000003</v>
      </c>
      <c r="AN39" s="4">
        <f t="shared" si="1"/>
        <v>3.5626875279843873E-3</v>
      </c>
      <c r="AO39" s="4"/>
      <c r="AP39" s="4"/>
      <c r="AQ39" s="4"/>
      <c r="AR39" s="4"/>
      <c r="AS39" s="8">
        <v>45748</v>
      </c>
      <c r="AT39" s="5">
        <v>5369.5</v>
      </c>
      <c r="AU39" s="4">
        <f t="shared" si="3"/>
        <v>-5.5327429019806473E-2</v>
      </c>
      <c r="AV39" s="4"/>
      <c r="AW39" s="4"/>
      <c r="AX39" s="4"/>
      <c r="AY39" s="4"/>
      <c r="AZ39" s="4"/>
      <c r="BA39" s="4"/>
      <c r="BB39" s="88">
        <v>45778</v>
      </c>
      <c r="BC39" s="86">
        <f t="shared" si="2"/>
        <v>2.6347872035385463E-2</v>
      </c>
      <c r="BE39" s="79"/>
      <c r="BF39" s="79" vm="61">
        <f ca="1"/>
        <v>45748</v>
      </c>
      <c r="BG39" s="79" vm="62">
        <f ca="1"/>
        <v>40669.360000000001</v>
      </c>
      <c r="BH39" s="82">
        <f t="shared" ca="1" si="4"/>
        <v>-3.1722480200829711E-2</v>
      </c>
    </row>
    <row r="40" spans="3:60" ht="17" thickBot="1">
      <c r="C40" s="108"/>
      <c r="D40" s="108"/>
      <c r="K40" s="83"/>
      <c r="L40" s="83"/>
      <c r="U40" s="1">
        <v>44866</v>
      </c>
      <c r="V40" s="2">
        <v>1546.44</v>
      </c>
      <c r="W40" s="2">
        <v>20.079999999999998</v>
      </c>
      <c r="X40" s="2">
        <v>2.56</v>
      </c>
      <c r="Y40" s="2">
        <v>0</v>
      </c>
      <c r="Z40" s="2">
        <v>0</v>
      </c>
      <c r="AA40" s="2">
        <v>0</v>
      </c>
      <c r="AB40" s="2">
        <v>0</v>
      </c>
      <c r="AC40" s="2">
        <v>1569.76</v>
      </c>
      <c r="AD40" t="s">
        <v>44</v>
      </c>
      <c r="AL40" s="8">
        <v>45809</v>
      </c>
      <c r="AM40" s="5">
        <v>4.42</v>
      </c>
      <c r="AN40" s="4">
        <f t="shared" si="1"/>
        <v>3.6107566318024364E-3</v>
      </c>
      <c r="AO40" s="4"/>
      <c r="AP40" s="4"/>
      <c r="AQ40" s="4"/>
      <c r="AR40" s="4"/>
      <c r="AS40" s="8">
        <v>45778</v>
      </c>
      <c r="AT40" s="5">
        <v>5810.92</v>
      </c>
      <c r="AU40" s="4">
        <f t="shared" si="3"/>
        <v>8.2208771766458716E-2</v>
      </c>
      <c r="AV40" s="4"/>
      <c r="AW40" s="4"/>
      <c r="AX40" s="4"/>
      <c r="AY40" s="4"/>
      <c r="AZ40" s="4"/>
      <c r="BA40" s="4"/>
      <c r="BB40" s="88">
        <v>45809</v>
      </c>
      <c r="BC40" s="86">
        <f t="shared" si="2"/>
        <v>-1.8920673578189412E-2</v>
      </c>
      <c r="BE40" s="79"/>
      <c r="BF40" s="79" vm="63">
        <f ca="1"/>
        <v>45778</v>
      </c>
      <c r="BG40" s="79" vm="64">
        <f ca="1"/>
        <v>42270.07</v>
      </c>
      <c r="BH40" s="82">
        <f t="shared" ca="1" si="4"/>
        <v>3.9359114576673918E-2</v>
      </c>
    </row>
    <row r="41" spans="3:60">
      <c r="C41" s="108"/>
      <c r="D41" s="108"/>
      <c r="U41" s="1">
        <v>44835</v>
      </c>
      <c r="V41" s="2">
        <v>490.41</v>
      </c>
      <c r="W41" s="2">
        <v>53.99</v>
      </c>
      <c r="X41" s="2">
        <v>1.86</v>
      </c>
      <c r="Y41" s="2">
        <v>0</v>
      </c>
      <c r="Z41" s="2">
        <v>1000</v>
      </c>
      <c r="AA41" s="2">
        <v>0</v>
      </c>
      <c r="AB41" s="2">
        <v>0</v>
      </c>
      <c r="AC41" s="2">
        <v>1546.44</v>
      </c>
      <c r="AD41" t="s">
        <v>45</v>
      </c>
      <c r="AL41" s="8">
        <v>45839</v>
      </c>
      <c r="AM41" s="5">
        <v>4.41</v>
      </c>
      <c r="AN41" s="4">
        <f t="shared" si="1"/>
        <v>3.6027468730472911E-3</v>
      </c>
      <c r="AO41" s="4"/>
      <c r="AP41" s="4"/>
      <c r="AQ41" s="4"/>
      <c r="AR41" s="4"/>
      <c r="AS41" s="8">
        <v>45809</v>
      </c>
      <c r="AT41" s="5">
        <v>6029.95</v>
      </c>
      <c r="AU41" s="4">
        <f t="shared" si="3"/>
        <v>3.7692826609211576E-2</v>
      </c>
      <c r="AV41" s="4"/>
      <c r="AW41" s="4"/>
      <c r="AX41" s="4"/>
      <c r="AY41" s="4"/>
      <c r="AZ41" s="4"/>
      <c r="BA41" s="4"/>
      <c r="BB41" s="88">
        <v>45839</v>
      </c>
      <c r="BC41" s="86">
        <f t="shared" si="2"/>
        <v>-3.1149104992933701E-2</v>
      </c>
      <c r="BE41" s="79"/>
      <c r="BF41" s="79" vm="65">
        <f ca="1"/>
        <v>45809</v>
      </c>
      <c r="BG41" s="79" vm="66">
        <f ca="1"/>
        <v>44094.77</v>
      </c>
      <c r="BH41" s="82">
        <f t="shared" ca="1" si="4"/>
        <v>4.3167659764935265E-2</v>
      </c>
    </row>
    <row r="42" spans="3:60">
      <c r="C42" s="108"/>
      <c r="D42" s="108"/>
      <c r="U42" t="s">
        <v>154</v>
      </c>
      <c r="V42" s="2">
        <v>0</v>
      </c>
      <c r="W42" s="2">
        <v>-9.66</v>
      </c>
      <c r="X42" s="2">
        <v>7.0000000000000007E-2</v>
      </c>
      <c r="Y42" s="2">
        <v>0</v>
      </c>
      <c r="Z42" s="2">
        <v>500</v>
      </c>
      <c r="AA42" s="2">
        <v>0</v>
      </c>
      <c r="AB42" s="2">
        <v>0</v>
      </c>
      <c r="AC42" s="2">
        <v>490.41</v>
      </c>
      <c r="AD42" t="s">
        <v>155</v>
      </c>
      <c r="AL42" s="8">
        <v>45870</v>
      </c>
      <c r="AM42" s="5">
        <v>4.3</v>
      </c>
      <c r="AN42" s="4">
        <f t="shared" si="1"/>
        <v>3.5145930840192463E-3</v>
      </c>
      <c r="AO42" s="4"/>
      <c r="AP42" s="4"/>
      <c r="AQ42" s="4"/>
      <c r="AR42" s="4"/>
      <c r="AS42" s="8">
        <v>45839</v>
      </c>
      <c r="AT42" s="5">
        <v>6296.5</v>
      </c>
      <c r="AU42" s="4">
        <f t="shared" si="3"/>
        <v>4.4204346636373466E-2</v>
      </c>
      <c r="AV42" s="4"/>
      <c r="AW42" s="4"/>
      <c r="AX42" s="4"/>
      <c r="AY42" s="4"/>
      <c r="AZ42" s="4"/>
      <c r="BA42" s="4"/>
      <c r="BB42" s="88">
        <v>45870</v>
      </c>
      <c r="BC42" s="86">
        <f t="shared" si="2"/>
        <v>2.5996275999705578E-2</v>
      </c>
      <c r="BE42" s="79"/>
      <c r="BF42" s="79" vm="67">
        <f ca="1"/>
        <v>45839</v>
      </c>
      <c r="BG42" s="79" vm="68">
        <f ca="1"/>
        <v>44130.98</v>
      </c>
      <c r="BH42" s="82">
        <f t="shared" ca="1" si="4"/>
        <v>8.2118582317146469E-4</v>
      </c>
    </row>
    <row r="43" spans="3:60">
      <c r="C43" s="108"/>
      <c r="D43" s="108"/>
      <c r="U43" t="s">
        <v>46</v>
      </c>
      <c r="V43" t="s">
        <v>47</v>
      </c>
      <c r="W43" t="s">
        <v>47</v>
      </c>
      <c r="X43" s="2">
        <v>125.51</v>
      </c>
      <c r="Y43" s="2">
        <v>0</v>
      </c>
      <c r="Z43" s="2">
        <v>1893.14</v>
      </c>
      <c r="AA43" s="2">
        <v>0</v>
      </c>
      <c r="AB43" s="2">
        <v>0</v>
      </c>
      <c r="AL43" s="8">
        <v>45901</v>
      </c>
      <c r="AM43" s="5">
        <v>4.07</v>
      </c>
      <c r="AN43" s="4">
        <f t="shared" si="1"/>
        <v>3.329995796502061E-3</v>
      </c>
      <c r="AO43" s="4"/>
      <c r="AP43" s="4"/>
      <c r="AQ43" s="4"/>
      <c r="AR43" s="4"/>
      <c r="AS43" s="8">
        <v>45870</v>
      </c>
      <c r="AT43" s="5">
        <v>6408.95</v>
      </c>
      <c r="AU43" s="4">
        <f t="shared" si="3"/>
        <v>1.7859128087032449E-2</v>
      </c>
      <c r="AV43" s="4"/>
      <c r="AW43" s="4"/>
      <c r="AX43" s="4"/>
      <c r="AY43" s="4"/>
      <c r="AZ43" s="4"/>
      <c r="BA43" s="4"/>
      <c r="BB43" s="88">
        <v>45901</v>
      </c>
      <c r="BC43" s="86">
        <f t="shared" si="2"/>
        <v>6.7384466642137764E-3</v>
      </c>
      <c r="BE43" s="79"/>
      <c r="BF43" s="79" vm="69">
        <f ca="1"/>
        <v>45870</v>
      </c>
      <c r="BG43" s="79" vm="70">
        <f ca="1"/>
        <v>45544.88</v>
      </c>
      <c r="BH43" s="82">
        <f t="shared" ca="1" si="4"/>
        <v>3.203871747239681E-2</v>
      </c>
    </row>
    <row r="44" spans="3:60">
      <c r="U44" t="s">
        <v>156</v>
      </c>
      <c r="V44" t="s">
        <v>157</v>
      </c>
      <c r="W44" t="s">
        <v>158</v>
      </c>
      <c r="AS44" s="8">
        <v>45901</v>
      </c>
      <c r="AT44" s="5">
        <v>6584.02</v>
      </c>
      <c r="AU44" s="4">
        <f t="shared" si="3"/>
        <v>2.7316487100071091E-2</v>
      </c>
      <c r="AV44" s="4"/>
      <c r="AW44" s="4"/>
      <c r="AX44" s="4"/>
      <c r="AY44" s="4"/>
      <c r="AZ44" s="4"/>
      <c r="BA44" s="4"/>
      <c r="BE44" s="79"/>
      <c r="BF44" s="79" vm="71">
        <f ca="1"/>
        <v>45901</v>
      </c>
      <c r="BG44" s="79" vm="72">
        <f ca="1"/>
        <v>46397.89</v>
      </c>
      <c r="BH44" s="82">
        <f t="shared" ca="1" si="4"/>
        <v>1.8728998737069943E-2</v>
      </c>
    </row>
    <row r="45" spans="3:60">
      <c r="U45" t="s">
        <v>47</v>
      </c>
      <c r="AS45" s="8">
        <v>45931</v>
      </c>
      <c r="AT45" s="5">
        <v>6700.1</v>
      </c>
      <c r="AU45" s="4">
        <f t="shared" si="3"/>
        <v>1.7630566128292429E-2</v>
      </c>
      <c r="AV45" s="4"/>
      <c r="AW45" s="4"/>
      <c r="AX45" s="4"/>
      <c r="AY45" s="4"/>
      <c r="AZ45" s="4"/>
      <c r="BA45" s="4"/>
      <c r="BE45" s="79"/>
      <c r="BF45" s="79" vm="73">
        <f ca="1"/>
        <v>45931</v>
      </c>
      <c r="BG45" s="79" vm="74">
        <f ca="1"/>
        <v>47706.37</v>
      </c>
      <c r="BH45" s="82">
        <f t="shared" ca="1" si="4"/>
        <v>2.8201282429007078E-2</v>
      </c>
    </row>
    <row r="46" spans="3:60">
      <c r="U46" t="s">
        <v>48</v>
      </c>
    </row>
    <row r="47" spans="3:60">
      <c r="U47" t="s">
        <v>49</v>
      </c>
    </row>
    <row r="48" spans="3:60">
      <c r="U48" t="s">
        <v>50</v>
      </c>
    </row>
    <row r="49" spans="21:21">
      <c r="U49" t="s">
        <v>51</v>
      </c>
    </row>
    <row r="50" spans="21:21">
      <c r="U50" t="s">
        <v>52</v>
      </c>
    </row>
    <row r="51" spans="21:21">
      <c r="U51" t="s">
        <v>53</v>
      </c>
    </row>
    <row r="52" spans="21:21">
      <c r="U52" t="s">
        <v>54</v>
      </c>
    </row>
    <row r="53" spans="21:21">
      <c r="U53" t="s">
        <v>55</v>
      </c>
    </row>
    <row r="54" spans="21:21">
      <c r="U54" t="s">
        <v>56</v>
      </c>
    </row>
    <row r="55" spans="21:21">
      <c r="U55" t="s">
        <v>57</v>
      </c>
    </row>
    <row r="56" spans="21:21">
      <c r="U56" t="s">
        <v>58</v>
      </c>
    </row>
    <row r="57" spans="21:21">
      <c r="U57" t="s">
        <v>59</v>
      </c>
    </row>
    <row r="58" spans="21:21">
      <c r="U58" t="s">
        <v>60</v>
      </c>
    </row>
    <row r="59" spans="21:21">
      <c r="U59" t="s">
        <v>61</v>
      </c>
    </row>
    <row r="60" spans="21:21">
      <c r="U60" t="s">
        <v>47</v>
      </c>
    </row>
    <row r="61" spans="21:21">
      <c r="U61" t="s">
        <v>159</v>
      </c>
    </row>
  </sheetData>
  <mergeCells count="98">
    <mergeCell ref="C10:D10"/>
    <mergeCell ref="C11:D11"/>
    <mergeCell ref="C12:D12"/>
    <mergeCell ref="C13:D13"/>
    <mergeCell ref="C14:D14"/>
    <mergeCell ref="C21:D21"/>
    <mergeCell ref="C22:D22"/>
    <mergeCell ref="C23:D23"/>
    <mergeCell ref="E10:F10"/>
    <mergeCell ref="E11:F11"/>
    <mergeCell ref="E12:F12"/>
    <mergeCell ref="E13:F13"/>
    <mergeCell ref="E14:F14"/>
    <mergeCell ref="E15:F15"/>
    <mergeCell ref="E16:F16"/>
    <mergeCell ref="C15:D15"/>
    <mergeCell ref="C16:D16"/>
    <mergeCell ref="C17:D17"/>
    <mergeCell ref="C18:D18"/>
    <mergeCell ref="C19:D19"/>
    <mergeCell ref="C20:D20"/>
    <mergeCell ref="E23:F23"/>
    <mergeCell ref="E17:F17"/>
    <mergeCell ref="E18:F18"/>
    <mergeCell ref="E19:F19"/>
    <mergeCell ref="E20:F20"/>
    <mergeCell ref="E21:F21"/>
    <mergeCell ref="E22:F22"/>
    <mergeCell ref="G20:H20"/>
    <mergeCell ref="G10:H10"/>
    <mergeCell ref="G11:H11"/>
    <mergeCell ref="G12:H12"/>
    <mergeCell ref="G13:H13"/>
    <mergeCell ref="G14:H14"/>
    <mergeCell ref="G15:H15"/>
    <mergeCell ref="G16:H16"/>
    <mergeCell ref="G17:H17"/>
    <mergeCell ref="G18:H18"/>
    <mergeCell ref="G19:H19"/>
    <mergeCell ref="G21:H21"/>
    <mergeCell ref="G22:H22"/>
    <mergeCell ref="G23:H23"/>
    <mergeCell ref="I21:J21"/>
    <mergeCell ref="I22:J22"/>
    <mergeCell ref="I23:J23"/>
    <mergeCell ref="I20:J20"/>
    <mergeCell ref="I10:J10"/>
    <mergeCell ref="I11:J11"/>
    <mergeCell ref="I12:J12"/>
    <mergeCell ref="I13:J13"/>
    <mergeCell ref="I14:J14"/>
    <mergeCell ref="I15:J15"/>
    <mergeCell ref="I16:J16"/>
    <mergeCell ref="I17:J17"/>
    <mergeCell ref="I18:J18"/>
    <mergeCell ref="I19:J19"/>
    <mergeCell ref="C43:D43"/>
    <mergeCell ref="C30:D30"/>
    <mergeCell ref="C31:D31"/>
    <mergeCell ref="C32:D32"/>
    <mergeCell ref="C33:D33"/>
    <mergeCell ref="C34:D34"/>
    <mergeCell ref="C35:D35"/>
    <mergeCell ref="C36:D36"/>
    <mergeCell ref="C37:D37"/>
    <mergeCell ref="C38:D38"/>
    <mergeCell ref="C39:D39"/>
    <mergeCell ref="C40:D40"/>
    <mergeCell ref="C41:D41"/>
    <mergeCell ref="C42:D42"/>
    <mergeCell ref="K10:L10"/>
    <mergeCell ref="K11:L11"/>
    <mergeCell ref="K12:L12"/>
    <mergeCell ref="K13:L13"/>
    <mergeCell ref="K14:L14"/>
    <mergeCell ref="K15:L15"/>
    <mergeCell ref="M23:N23"/>
    <mergeCell ref="M17:N17"/>
    <mergeCell ref="M18:N18"/>
    <mergeCell ref="M19:N19"/>
    <mergeCell ref="M20:N20"/>
    <mergeCell ref="K22:L22"/>
    <mergeCell ref="K23:L23"/>
    <mergeCell ref="K16:L16"/>
    <mergeCell ref="K17:L17"/>
    <mergeCell ref="K18:L18"/>
    <mergeCell ref="K19:L19"/>
    <mergeCell ref="K20:L20"/>
    <mergeCell ref="K21:L21"/>
    <mergeCell ref="M21:N21"/>
    <mergeCell ref="M22:N22"/>
    <mergeCell ref="M10:N10"/>
    <mergeCell ref="M11:N11"/>
    <mergeCell ref="M12:N12"/>
    <mergeCell ref="M13:N13"/>
    <mergeCell ref="M14:N14"/>
    <mergeCell ref="M15:N15"/>
    <mergeCell ref="M16:N1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2443-6575-CD49-B76F-4C7336EF753F}">
  <dimension ref="A1:AK130"/>
  <sheetViews>
    <sheetView zoomScale="125" workbookViewId="0">
      <selection activeCell="B4" sqref="B4:K4"/>
    </sheetView>
  </sheetViews>
  <sheetFormatPr baseColWidth="10" defaultRowHeight="16"/>
  <cols>
    <col min="1" max="1" width="23.83203125" style="19" customWidth="1"/>
    <col min="2" max="2" width="10" style="19" customWidth="1"/>
    <col min="3" max="3" width="12.1640625" style="19" customWidth="1"/>
    <col min="4" max="4" width="16.6640625" style="19" customWidth="1"/>
    <col min="5" max="5" width="16" style="19" customWidth="1"/>
    <col min="6" max="8" width="15" style="19" customWidth="1"/>
    <col min="9" max="9" width="14.1640625" style="11" bestFit="1" customWidth="1"/>
    <col min="10" max="10" width="18.33203125" style="11" customWidth="1"/>
    <col min="11" max="11" width="15" style="11" bestFit="1" customWidth="1"/>
    <col min="12" max="12" width="17.83203125" style="11" customWidth="1"/>
    <col min="13" max="15" width="14.5" style="11" customWidth="1"/>
    <col min="16" max="16" width="15" style="11" customWidth="1"/>
    <col min="17" max="18" width="16.1640625" style="11" customWidth="1"/>
    <col min="19" max="29" width="10.83203125" style="11"/>
    <col min="30" max="30" width="16.1640625" style="11" customWidth="1"/>
    <col min="31" max="37" width="10.83203125" style="11"/>
    <col min="38" max="16384" width="10.83203125" style="19"/>
  </cols>
  <sheetData>
    <row r="1" spans="1:37">
      <c r="A1" s="10" t="s">
        <v>71</v>
      </c>
      <c r="B1" s="115">
        <v>45658</v>
      </c>
      <c r="C1" s="116"/>
      <c r="D1" s="116"/>
      <c r="E1" s="116"/>
      <c r="F1" s="116"/>
      <c r="G1" s="116"/>
      <c r="H1" s="116"/>
      <c r="I1" s="116"/>
      <c r="J1" s="116"/>
      <c r="K1" s="117"/>
    </row>
    <row r="2" spans="1:37">
      <c r="A2" s="12" t="s">
        <v>72</v>
      </c>
      <c r="B2" s="118" t="s">
        <v>73</v>
      </c>
      <c r="C2" s="119"/>
      <c r="D2" s="119"/>
      <c r="E2" s="119"/>
      <c r="F2" s="119"/>
      <c r="G2" s="119"/>
      <c r="H2" s="119"/>
      <c r="I2" s="119"/>
      <c r="J2" s="119"/>
      <c r="K2" s="120"/>
    </row>
    <row r="3" spans="1:37">
      <c r="A3" s="12" t="s">
        <v>74</v>
      </c>
      <c r="B3" s="121" t="s">
        <v>75</v>
      </c>
      <c r="C3" s="122"/>
      <c r="D3" s="122"/>
      <c r="E3" s="122"/>
      <c r="F3" s="123"/>
      <c r="G3" s="13"/>
      <c r="H3" s="13"/>
      <c r="I3" s="124" t="s">
        <v>76</v>
      </c>
      <c r="J3" s="125"/>
      <c r="K3" s="126"/>
      <c r="L3" s="14"/>
      <c r="M3" s="14"/>
      <c r="N3" s="14"/>
      <c r="O3" s="14"/>
      <c r="P3" s="14"/>
    </row>
    <row r="4" spans="1:37">
      <c r="A4" s="12" t="s">
        <v>77</v>
      </c>
      <c r="B4" s="127" t="s">
        <v>124</v>
      </c>
      <c r="C4" s="128"/>
      <c r="D4" s="128"/>
      <c r="E4" s="128"/>
      <c r="F4" s="128"/>
      <c r="G4" s="128"/>
      <c r="H4" s="128"/>
      <c r="I4" s="128"/>
      <c r="J4" s="128"/>
      <c r="K4" s="129"/>
    </row>
    <row r="5" spans="1:37">
      <c r="A5" s="12" t="s">
        <v>78</v>
      </c>
      <c r="B5" s="112" t="s">
        <v>79</v>
      </c>
      <c r="C5" s="113"/>
      <c r="D5" s="113"/>
      <c r="E5" s="113"/>
      <c r="F5" s="113"/>
      <c r="G5" s="113"/>
      <c r="H5" s="113"/>
      <c r="I5" s="113"/>
      <c r="J5" s="113"/>
      <c r="K5" s="114"/>
    </row>
    <row r="6" spans="1:37">
      <c r="A6" s="12" t="s">
        <v>80</v>
      </c>
      <c r="B6" s="118" t="s">
        <v>81</v>
      </c>
      <c r="C6" s="119"/>
      <c r="D6" s="119"/>
      <c r="E6" s="119"/>
      <c r="F6" s="119"/>
      <c r="G6" s="119"/>
      <c r="H6" s="119"/>
      <c r="I6" s="119"/>
      <c r="J6" s="119"/>
      <c r="K6" s="120"/>
    </row>
    <row r="7" spans="1:37" ht="17" thickBot="1">
      <c r="A7" s="15" t="s">
        <v>82</v>
      </c>
      <c r="B7" s="130" t="s">
        <v>83</v>
      </c>
      <c r="C7" s="131"/>
      <c r="D7" s="131"/>
      <c r="E7" s="131"/>
      <c r="F7" s="131"/>
      <c r="G7" s="131"/>
      <c r="H7" s="131"/>
      <c r="I7" s="131"/>
      <c r="J7" s="131"/>
      <c r="K7" s="132"/>
    </row>
    <row r="8" spans="1:37" s="61" customFormat="1" ht="20" thickBot="1">
      <c r="A8" s="16" t="s">
        <v>84</v>
      </c>
      <c r="B8" s="16"/>
      <c r="C8" s="16"/>
      <c r="D8" s="16"/>
      <c r="E8" s="16"/>
      <c r="F8" s="16"/>
      <c r="G8" s="16"/>
      <c r="H8" s="16"/>
      <c r="I8" s="17"/>
      <c r="J8" s="17"/>
      <c r="K8" s="17"/>
      <c r="L8" s="18"/>
      <c r="M8" s="18"/>
      <c r="N8" s="18"/>
      <c r="O8" s="18"/>
      <c r="P8" s="18"/>
      <c r="Q8" s="18"/>
      <c r="R8" s="18"/>
      <c r="S8" s="18"/>
      <c r="T8" s="18"/>
      <c r="U8" s="18"/>
      <c r="V8" s="18"/>
      <c r="W8" s="18"/>
      <c r="X8" s="18"/>
      <c r="Y8" s="18"/>
      <c r="Z8" s="18"/>
      <c r="AA8" s="18"/>
      <c r="AB8" s="18"/>
      <c r="AC8" s="18"/>
      <c r="AD8" s="18"/>
      <c r="AE8" s="18"/>
      <c r="AF8" s="18"/>
      <c r="AG8" s="18"/>
      <c r="AH8" s="18"/>
      <c r="AI8" s="18"/>
      <c r="AJ8" s="18"/>
      <c r="AK8" s="18"/>
    </row>
    <row r="9" spans="1:37">
      <c r="A9" s="19" t="s">
        <v>85</v>
      </c>
      <c r="D9" s="20" t="s">
        <v>86</v>
      </c>
      <c r="G9" s="133" t="s">
        <v>87</v>
      </c>
      <c r="H9" s="134"/>
      <c r="I9" s="134"/>
      <c r="J9" s="134"/>
      <c r="K9" s="135"/>
      <c r="L9" s="21"/>
      <c r="M9" s="21"/>
      <c r="N9" s="21"/>
      <c r="O9" s="21"/>
      <c r="P9" s="21"/>
      <c r="Q9" s="21"/>
      <c r="R9" s="21"/>
      <c r="S9" s="21"/>
    </row>
    <row r="10" spans="1:37" ht="17" thickBot="1">
      <c r="A10" s="19" t="s">
        <v>88</v>
      </c>
      <c r="D10" s="20">
        <v>2014</v>
      </c>
      <c r="G10" s="136"/>
      <c r="H10" s="137"/>
      <c r="I10" s="137"/>
      <c r="J10" s="137"/>
      <c r="K10" s="138"/>
      <c r="L10" s="21"/>
      <c r="M10" s="21"/>
      <c r="N10" s="21"/>
      <c r="O10" s="21"/>
      <c r="P10" s="21"/>
      <c r="Q10" s="21"/>
      <c r="R10" s="21"/>
      <c r="S10" s="21"/>
    </row>
    <row r="11" spans="1:37">
      <c r="F11" s="11"/>
      <c r="G11" s="11"/>
      <c r="H11" s="11"/>
      <c r="L11" s="22"/>
    </row>
    <row r="12" spans="1:37">
      <c r="A12" s="19" t="s">
        <v>89</v>
      </c>
      <c r="E12" s="23">
        <f>IF(D10=1928,100,VLOOKUP(D10-1,A21:O117,9))</f>
        <v>255553.30808629587</v>
      </c>
      <c r="F12" s="24"/>
    </row>
    <row r="13" spans="1:37">
      <c r="A13" s="19" t="s">
        <v>90</v>
      </c>
      <c r="E13" s="23">
        <f>IF(D10=1928,100,VLOOKUP(D10-1,A21:L117,11))</f>
        <v>1982.01130392455</v>
      </c>
      <c r="F13" s="24"/>
    </row>
    <row r="14" spans="1:37">
      <c r="A14" s="19" t="s">
        <v>91</v>
      </c>
      <c r="E14" s="23">
        <f>IF(D10=1928,100,VLOOKUP(D10-1,A20:L117,12))</f>
        <v>6295.7854066132577</v>
      </c>
      <c r="F14" s="24"/>
      <c r="K14" s="22"/>
    </row>
    <row r="15" spans="1:37">
      <c r="A15" s="19" t="s">
        <v>92</v>
      </c>
      <c r="E15" s="23">
        <f>IF(D10=1928,100,VLOOKUP(D10-1,A20:N117,14))</f>
        <v>2728.38974741739</v>
      </c>
      <c r="F15" s="24"/>
    </row>
    <row r="16" spans="1:37">
      <c r="A16" s="19" t="s">
        <v>93</v>
      </c>
      <c r="E16" s="23">
        <f>IF(D10=1928,100,VLOOKUP(D10-1,A20:O117,15))</f>
        <v>5835.7558139534867</v>
      </c>
      <c r="F16" s="24"/>
    </row>
    <row r="17" spans="1:37">
      <c r="A17" s="19" t="s">
        <v>94</v>
      </c>
      <c r="E17" s="25">
        <f>IF(D9="ST",(I117/E12)^(1/(A117-D10+1))-(K117/E13)^(1/(A117-D10+1)),(I117/E12)^(1/(A117-D10+1))-(L117/E14)^(1/(A117-D10+1)))</f>
        <v>0.11851183776531893</v>
      </c>
      <c r="F17" s="26"/>
    </row>
    <row r="18" spans="1:37" ht="17" thickBot="1"/>
    <row r="19" spans="1:37" ht="17" thickBot="1">
      <c r="B19" s="139" t="s">
        <v>95</v>
      </c>
      <c r="C19" s="139"/>
      <c r="D19" s="139"/>
      <c r="E19" s="139"/>
      <c r="F19" s="139"/>
      <c r="G19" s="139"/>
      <c r="H19" s="139"/>
      <c r="I19" s="140" t="s">
        <v>96</v>
      </c>
      <c r="J19" s="140"/>
      <c r="K19" s="141"/>
      <c r="L19" s="141"/>
      <c r="M19" s="141"/>
      <c r="N19" s="141"/>
      <c r="O19" s="141"/>
      <c r="P19" s="154" t="s">
        <v>125</v>
      </c>
      <c r="Q19" s="155"/>
      <c r="R19" s="155"/>
      <c r="S19" s="155"/>
      <c r="T19" s="156"/>
      <c r="U19" s="141" t="s">
        <v>126</v>
      </c>
      <c r="V19" s="141"/>
      <c r="W19" s="141"/>
      <c r="X19" s="141"/>
      <c r="Y19" s="141"/>
      <c r="Z19" s="141"/>
      <c r="AA19" s="141"/>
      <c r="AB19" s="141"/>
      <c r="AC19" s="140" t="s">
        <v>127</v>
      </c>
      <c r="AD19" s="140"/>
      <c r="AE19" s="141"/>
      <c r="AF19" s="141"/>
      <c r="AG19" s="141"/>
      <c r="AH19" s="141"/>
      <c r="AI19" s="142"/>
      <c r="AJ19" s="143" t="s">
        <v>128</v>
      </c>
      <c r="AK19" s="144"/>
    </row>
    <row r="20" spans="1:37" s="66" customFormat="1" ht="68">
      <c r="A20" s="27" t="s">
        <v>97</v>
      </c>
      <c r="B20" s="28" t="s">
        <v>98</v>
      </c>
      <c r="C20" s="28" t="s">
        <v>99</v>
      </c>
      <c r="D20" s="28" t="s">
        <v>100</v>
      </c>
      <c r="E20" s="28" t="s">
        <v>101</v>
      </c>
      <c r="F20" s="28" t="s">
        <v>102</v>
      </c>
      <c r="G20" s="28" t="s">
        <v>103</v>
      </c>
      <c r="H20" s="28" t="s">
        <v>104</v>
      </c>
      <c r="I20" s="29" t="s">
        <v>105</v>
      </c>
      <c r="J20" s="30" t="s">
        <v>106</v>
      </c>
      <c r="K20" s="31" t="s">
        <v>107</v>
      </c>
      <c r="L20" s="31" t="s">
        <v>108</v>
      </c>
      <c r="M20" s="31" t="s">
        <v>109</v>
      </c>
      <c r="N20" s="31" t="s">
        <v>110</v>
      </c>
      <c r="O20" s="31" t="s">
        <v>111</v>
      </c>
      <c r="P20" s="62" t="s">
        <v>129</v>
      </c>
      <c r="Q20" s="62" t="s">
        <v>130</v>
      </c>
      <c r="R20" s="63" t="s">
        <v>131</v>
      </c>
      <c r="S20" s="63" t="s">
        <v>132</v>
      </c>
      <c r="T20" s="63" t="s">
        <v>133</v>
      </c>
      <c r="U20" s="62" t="s">
        <v>134</v>
      </c>
      <c r="V20" s="62" t="s">
        <v>135</v>
      </c>
      <c r="W20" s="30" t="s">
        <v>136</v>
      </c>
      <c r="X20" s="62" t="s">
        <v>137</v>
      </c>
      <c r="Y20" s="62" t="s">
        <v>138</v>
      </c>
      <c r="Z20" s="62" t="s">
        <v>139</v>
      </c>
      <c r="AA20" s="62" t="s">
        <v>140</v>
      </c>
      <c r="AB20" s="62" t="s">
        <v>141</v>
      </c>
      <c r="AC20" s="31" t="s">
        <v>105</v>
      </c>
      <c r="AD20" s="64" t="s">
        <v>136</v>
      </c>
      <c r="AE20" s="31" t="s">
        <v>107</v>
      </c>
      <c r="AF20" s="31" t="s">
        <v>108</v>
      </c>
      <c r="AG20" s="31" t="s">
        <v>109</v>
      </c>
      <c r="AH20" s="31" t="s">
        <v>110</v>
      </c>
      <c r="AI20" s="31" t="s">
        <v>111</v>
      </c>
      <c r="AJ20" s="65" t="s">
        <v>142</v>
      </c>
      <c r="AK20" s="65" t="s">
        <v>143</v>
      </c>
    </row>
    <row r="21" spans="1:37">
      <c r="A21" s="32">
        <v>1928</v>
      </c>
      <c r="B21" s="33">
        <f>('[1]S&amp;P 500 &amp; Raw Data'!B4-'[1]S&amp;P 500 &amp; Raw Data'!B3+'[1]S&amp;P 500 &amp; Raw Data'!C4)/'[1]S&amp;P 500 &amp; Raw Data'!B3</f>
        <v>0.43811155152887893</v>
      </c>
      <c r="C21" s="33">
        <f>'[1]Small Cap'!B2</f>
        <v>0.59909999999999997</v>
      </c>
      <c r="D21" s="33">
        <v>3.0800000000000001E-2</v>
      </c>
      <c r="E21" s="33">
        <f>'[1]S&amp;P 500 &amp; Raw Data'!F4</f>
        <v>8.354708589799302E-3</v>
      </c>
      <c r="F21" s="33">
        <f>'[1]S&amp;P 500 &amp; Raw Data'!J4</f>
        <v>3.2195514702324381E-2</v>
      </c>
      <c r="G21" s="33">
        <f>'[1]Home Prices'!B4/'[1]Home Prices'!B3-1</f>
        <v>1.491053677932408E-2</v>
      </c>
      <c r="H21" s="33">
        <f>'[1]Gold Prices'!B3/'[1]Gold Prices'!B2-1</f>
        <v>9.6899224806201723E-4</v>
      </c>
      <c r="I21" s="34">
        <f>100*(1+B21)</f>
        <v>143.81115515288789</v>
      </c>
      <c r="J21" s="34">
        <v>159.91</v>
      </c>
      <c r="K21" s="35">
        <f>100*(1+D21)</f>
        <v>103.08</v>
      </c>
      <c r="L21" s="35">
        <f>100*(1+E21)</f>
        <v>100.83547085897993</v>
      </c>
      <c r="M21" s="35">
        <f>100*(1+F21)</f>
        <v>103.21955147023243</v>
      </c>
      <c r="N21" s="35">
        <f>100*(1+G21)</f>
        <v>101.49105367793241</v>
      </c>
      <c r="O21" s="35">
        <f>100*(1+H21)</f>
        <v>100.09689922480621</v>
      </c>
      <c r="P21" s="67">
        <f t="shared" ref="P21:P84" si="0">B21-D21</f>
        <v>0.40731155152887893</v>
      </c>
      <c r="Q21" s="67">
        <f t="shared" ref="Q21:Q84" si="1">B21-E21</f>
        <v>0.42975684293907962</v>
      </c>
      <c r="R21" s="68">
        <f>'Data Descriptors 2'!$C21-'Data Descriptors 2'!$B21</f>
        <v>0.16098844847112104</v>
      </c>
      <c r="S21" s="68">
        <f t="shared" ref="S21:S84" si="2">B21-F21</f>
        <v>0.40591603682655453</v>
      </c>
      <c r="T21" s="32"/>
      <c r="U21" s="69">
        <f>'[1]Inflation Rate'!C26</f>
        <v>-1.15607E-2</v>
      </c>
      <c r="V21" s="57">
        <f t="shared" ref="V21:AB52" si="3">(1+B21)/(1+$U21)-1</f>
        <v>0.45493157903462444</v>
      </c>
      <c r="W21" s="57">
        <f t="shared" si="3"/>
        <v>0.61780293438352762</v>
      </c>
      <c r="X21" s="57">
        <f t="shared" si="3"/>
        <v>4.2856147059308514E-2</v>
      </c>
      <c r="Y21" s="57">
        <f t="shared" si="3"/>
        <v>2.0148337474844569E-2</v>
      </c>
      <c r="Z21" s="57">
        <f t="shared" si="3"/>
        <v>4.4267983580098758E-2</v>
      </c>
      <c r="AA21" s="57">
        <f t="shared" si="3"/>
        <v>2.678084206012854E-2</v>
      </c>
      <c r="AB21" s="57">
        <f t="shared" si="3"/>
        <v>1.2676238437769438E-2</v>
      </c>
      <c r="AC21" s="34">
        <f t="shared" ref="AC21:AI21" si="4">100*(1+V21)</f>
        <v>145.49315790346245</v>
      </c>
      <c r="AD21" s="34">
        <f t="shared" si="4"/>
        <v>161.78029343835277</v>
      </c>
      <c r="AE21" s="35">
        <f t="shared" si="4"/>
        <v>104.28561470593085</v>
      </c>
      <c r="AF21" s="35">
        <f t="shared" si="4"/>
        <v>102.01483374748446</v>
      </c>
      <c r="AG21" s="35">
        <f t="shared" si="4"/>
        <v>104.42679835800988</v>
      </c>
      <c r="AH21" s="35">
        <f t="shared" si="4"/>
        <v>102.67808420601285</v>
      </c>
      <c r="AI21" s="35">
        <f t="shared" si="4"/>
        <v>101.26762384377695</v>
      </c>
      <c r="AJ21" s="51">
        <f>'Data Descriptors 2'!$V21-'Data Descriptors 2'!$X21</f>
        <v>0.41207543197531593</v>
      </c>
      <c r="AK21" s="51">
        <f>'Data Descriptors 2'!$V21-'Data Descriptors 2'!$Y21</f>
        <v>0.43478324155977988</v>
      </c>
    </row>
    <row r="22" spans="1:37">
      <c r="A22" s="32">
        <v>1929</v>
      </c>
      <c r="B22" s="33">
        <f>('[1]S&amp;P 500 &amp; Raw Data'!B5-'[1]S&amp;P 500 &amp; Raw Data'!B4+'[1]S&amp;P 500 &amp; Raw Data'!C5)/'[1]S&amp;P 500 &amp; Raw Data'!B4</f>
        <v>-8.2979466119096595E-2</v>
      </c>
      <c r="C22" s="33">
        <f>'[1]Small Cap'!B3</f>
        <v>-0.46610000000000001</v>
      </c>
      <c r="D22" s="33">
        <v>3.1600000000000003E-2</v>
      </c>
      <c r="E22" s="33">
        <f>'[1]S&amp;P 500 &amp; Raw Data'!F5</f>
        <v>4.2038041563204259E-2</v>
      </c>
      <c r="F22" s="33">
        <f>'[1]S&amp;P 500 &amp; Raw Data'!J5</f>
        <v>3.0178562399040432E-2</v>
      </c>
      <c r="G22" s="33">
        <f>'[1]Home Prices'!B5/'[1]Home Prices'!B4-1</f>
        <v>-2.0568070519098924E-2</v>
      </c>
      <c r="H22" s="33">
        <f>'[1]Gold Prices'!B4/'[1]Gold Prices'!B3-1</f>
        <v>-1.4520813165538327E-3</v>
      </c>
      <c r="I22" s="36">
        <f t="shared" ref="I22:O37" si="5">I21*(1+B22)</f>
        <v>131.87778227633069</v>
      </c>
      <c r="J22" s="35">
        <f t="shared" si="5"/>
        <v>85.375949000000006</v>
      </c>
      <c r="K22" s="35">
        <f t="shared" si="5"/>
        <v>106.337328</v>
      </c>
      <c r="L22" s="35">
        <f t="shared" si="5"/>
        <v>105.074396573995</v>
      </c>
      <c r="M22" s="35">
        <f t="shared" si="5"/>
        <v>106.33456914507781</v>
      </c>
      <c r="N22" s="35">
        <f t="shared" si="5"/>
        <v>99.40357852882704</v>
      </c>
      <c r="O22" s="35">
        <f t="shared" si="5"/>
        <v>99.951550387596896</v>
      </c>
      <c r="P22" s="67">
        <f t="shared" si="0"/>
        <v>-0.1145794661190966</v>
      </c>
      <c r="Q22" s="67">
        <f t="shared" si="1"/>
        <v>-0.12501750768230085</v>
      </c>
      <c r="R22" s="68">
        <f>'Data Descriptors 2'!$C22-'Data Descriptors 2'!$B22</f>
        <v>-0.38312053388090339</v>
      </c>
      <c r="S22" s="68">
        <f t="shared" si="2"/>
        <v>-0.11315802851813703</v>
      </c>
      <c r="T22" s="32"/>
      <c r="U22" s="69">
        <f>'[1]Inflation Rate'!C27</f>
        <v>5.8479999999999999E-3</v>
      </c>
      <c r="V22" s="51">
        <f t="shared" si="3"/>
        <v>-8.8311023255100762E-2</v>
      </c>
      <c r="W22" s="51">
        <f t="shared" si="3"/>
        <v>-0.4692040944556235</v>
      </c>
      <c r="X22" s="51">
        <f t="shared" si="3"/>
        <v>2.5602277878963742E-2</v>
      </c>
      <c r="Y22" s="51">
        <f t="shared" si="3"/>
        <v>3.5979632671342188E-2</v>
      </c>
      <c r="Z22" s="51">
        <f t="shared" si="3"/>
        <v>2.4189104515831783E-2</v>
      </c>
      <c r="AA22" s="51">
        <f t="shared" si="3"/>
        <v>-2.6262487492244357E-2</v>
      </c>
      <c r="AB22" s="51">
        <f t="shared" si="3"/>
        <v>-7.2576386457535724E-3</v>
      </c>
      <c r="AC22" s="36">
        <f t="shared" ref="AC22:AI37" si="6">AC21*(1+V22)</f>
        <v>132.64450825239172</v>
      </c>
      <c r="AD22" s="36">
        <f t="shared" si="6"/>
        <v>85.872317354845407</v>
      </c>
      <c r="AE22" s="35">
        <f t="shared" si="6"/>
        <v>106.95556399241065</v>
      </c>
      <c r="AF22" s="35">
        <f t="shared" si="6"/>
        <v>105.68528999274699</v>
      </c>
      <c r="AG22" s="35">
        <f t="shared" si="6"/>
        <v>106.95278909774547</v>
      </c>
      <c r="AH22" s="35">
        <f t="shared" si="6"/>
        <v>99.981502303824826</v>
      </c>
      <c r="AI22" s="35">
        <f t="shared" si="6"/>
        <v>100.53266002340472</v>
      </c>
      <c r="AJ22" s="51">
        <f>'Data Descriptors 2'!$V22-'Data Descriptors 2'!$X22</f>
        <v>-0.1139133011340645</v>
      </c>
      <c r="AK22" s="51">
        <f>'Data Descriptors 2'!$V22-'Data Descriptors 2'!$Y22</f>
        <v>-0.12429065592644295</v>
      </c>
    </row>
    <row r="23" spans="1:37">
      <c r="A23" s="32">
        <v>1930</v>
      </c>
      <c r="B23" s="33">
        <f>('[1]S&amp;P 500 &amp; Raw Data'!B6-'[1]S&amp;P 500 &amp; Raw Data'!B5+'[1]S&amp;P 500 &amp; Raw Data'!C6)/'[1]S&amp;P 500 &amp; Raw Data'!B5</f>
        <v>-0.25123636363636365</v>
      </c>
      <c r="C23" s="33">
        <f>'[1]Small Cap'!B4</f>
        <v>-0.50029999999999997</v>
      </c>
      <c r="D23" s="33">
        <v>4.5499999999999999E-2</v>
      </c>
      <c r="E23" s="33">
        <f>'[1]S&amp;P 500 &amp; Raw Data'!F6</f>
        <v>4.5409314348970366E-2</v>
      </c>
      <c r="F23" s="33">
        <f>'[1]S&amp;P 500 &amp; Raw Data'!J6</f>
        <v>5.3978094648238287E-3</v>
      </c>
      <c r="G23" s="33">
        <f>'[1]Home Prices'!B6/'[1]Home Prices'!B5-1</f>
        <v>-4.2999999999999927E-2</v>
      </c>
      <c r="H23" s="33">
        <f>'[1]Gold Prices'!B5/'[1]Gold Prices'!B4-1</f>
        <v>9.6946194861846635E-4</v>
      </c>
      <c r="I23" s="37">
        <f t="shared" si="5"/>
        <v>98.745287812797272</v>
      </c>
      <c r="J23" s="35">
        <f t="shared" si="5"/>
        <v>42.662361715300008</v>
      </c>
      <c r="K23" s="35">
        <f t="shared" si="5"/>
        <v>111.17567642400002</v>
      </c>
      <c r="L23" s="35">
        <f t="shared" si="5"/>
        <v>109.84575287805193</v>
      </c>
      <c r="M23" s="35">
        <f t="shared" si="5"/>
        <v>106.90854288884708</v>
      </c>
      <c r="N23" s="35">
        <f t="shared" si="5"/>
        <v>95.129224652087487</v>
      </c>
      <c r="O23" s="35">
        <f t="shared" si="5"/>
        <v>100.04844961240309</v>
      </c>
      <c r="P23" s="67">
        <f t="shared" si="0"/>
        <v>-0.29673636363636363</v>
      </c>
      <c r="Q23" s="67">
        <f t="shared" si="1"/>
        <v>-0.29664567798533403</v>
      </c>
      <c r="R23" s="68">
        <f>'Data Descriptors 2'!$C23-'Data Descriptors 2'!$B23</f>
        <v>-0.24906363636363632</v>
      </c>
      <c r="S23" s="68">
        <f t="shared" si="2"/>
        <v>-0.25663417310118747</v>
      </c>
      <c r="T23" s="32"/>
      <c r="U23" s="69">
        <f>'[1]Inflation Rate'!C28</f>
        <v>-6.3953499999999996E-2</v>
      </c>
      <c r="V23" s="51">
        <f t="shared" si="3"/>
        <v>-0.20007858972429649</v>
      </c>
      <c r="W23" s="51">
        <f t="shared" si="3"/>
        <v>-0.46615899957961482</v>
      </c>
      <c r="X23" s="51">
        <f t="shared" si="3"/>
        <v>0.11693169089356137</v>
      </c>
      <c r="Y23" s="51">
        <f t="shared" si="3"/>
        <v>0.11683480932728285</v>
      </c>
      <c r="Z23" s="51">
        <f t="shared" si="3"/>
        <v>7.4089598609496266E-2</v>
      </c>
      <c r="AA23" s="51">
        <f t="shared" si="3"/>
        <v>2.2385105868138133E-2</v>
      </c>
      <c r="AB23" s="51">
        <f t="shared" si="3"/>
        <v>6.9358693129687898E-2</v>
      </c>
      <c r="AC23" s="70">
        <f t="shared" si="6"/>
        <v>106.10518210658037</v>
      </c>
      <c r="AD23" s="36">
        <f t="shared" si="6"/>
        <v>45.842163805127477</v>
      </c>
      <c r="AE23" s="35">
        <f t="shared" si="6"/>
        <v>119.46205894051774</v>
      </c>
      <c r="AF23" s="35">
        <f t="shared" si="6"/>
        <v>118.03301069774818</v>
      </c>
      <c r="AG23" s="35">
        <f t="shared" si="6"/>
        <v>114.87687831216354</v>
      </c>
      <c r="AH23" s="35">
        <f t="shared" si="6"/>
        <v>102.21959881775145</v>
      </c>
      <c r="AI23" s="35">
        <f t="shared" si="6"/>
        <v>107.50547393947929</v>
      </c>
      <c r="AJ23" s="51">
        <f>'Data Descriptors 2'!$V23-'Data Descriptors 2'!$X23</f>
        <v>-0.31701028061785785</v>
      </c>
      <c r="AK23" s="51">
        <f>'Data Descriptors 2'!$V23-'Data Descriptors 2'!$Y23</f>
        <v>-0.31691339905157934</v>
      </c>
    </row>
    <row r="24" spans="1:37">
      <c r="A24" s="32">
        <v>1931</v>
      </c>
      <c r="B24" s="33">
        <f>('[1]S&amp;P 500 &amp; Raw Data'!B7-'[1]S&amp;P 500 &amp; Raw Data'!B6+'[1]S&amp;P 500 &amp; Raw Data'!C7)/'[1]S&amp;P 500 &amp; Raw Data'!B6</f>
        <v>-0.43837548891786188</v>
      </c>
      <c r="C24" s="33">
        <f>'[1]Small Cap'!B5</f>
        <v>-0.44659999999999994</v>
      </c>
      <c r="D24" s="33">
        <v>2.3099999999999999E-2</v>
      </c>
      <c r="E24" s="33">
        <f>'[1]S&amp;P 500 &amp; Raw Data'!F7</f>
        <v>-2.5588559619422531E-2</v>
      </c>
      <c r="F24" s="33">
        <f>'[1]S&amp;P 500 &amp; Raw Data'!J7</f>
        <v>-0.15680775082667592</v>
      </c>
      <c r="G24" s="33">
        <f>'[1]Home Prices'!B7/'[1]Home Prices'!B6-1</f>
        <v>-8.1504702194357348E-2</v>
      </c>
      <c r="H24" s="33">
        <f>'[1]Gold Prices'!B6/'[1]Gold Prices'!B5-1</f>
        <v>-0.17384987893462467</v>
      </c>
      <c r="I24" s="34">
        <f t="shared" si="5"/>
        <v>55.457773989527276</v>
      </c>
      <c r="J24" s="35">
        <f t="shared" si="5"/>
        <v>23.609350973247029</v>
      </c>
      <c r="K24" s="35">
        <f t="shared" si="5"/>
        <v>113.74383454939441</v>
      </c>
      <c r="L24" s="35">
        <f t="shared" si="5"/>
        <v>107.03495828159154</v>
      </c>
      <c r="M24" s="35">
        <f t="shared" si="5"/>
        <v>90.144454734289752</v>
      </c>
      <c r="N24" s="35">
        <f t="shared" si="5"/>
        <v>87.375745526838983</v>
      </c>
      <c r="O24" s="35">
        <f t="shared" si="5"/>
        <v>82.655038759689916</v>
      </c>
      <c r="P24" s="67">
        <f t="shared" si="0"/>
        <v>-0.46147548891786189</v>
      </c>
      <c r="Q24" s="67">
        <f t="shared" si="1"/>
        <v>-0.41278692929843935</v>
      </c>
      <c r="R24" s="68">
        <f>'Data Descriptors 2'!$C24-'Data Descriptors 2'!$B24</f>
        <v>-8.224511082138064E-3</v>
      </c>
      <c r="S24" s="68">
        <f t="shared" si="2"/>
        <v>-0.28156773809118596</v>
      </c>
      <c r="T24" s="32"/>
      <c r="U24" s="69">
        <f>'[1]Inflation Rate'!C29</f>
        <v>-9.3167700000000006E-2</v>
      </c>
      <c r="V24" s="51">
        <f t="shared" si="3"/>
        <v>-0.38067434179159909</v>
      </c>
      <c r="W24" s="51">
        <f t="shared" si="3"/>
        <v>-0.38974383687038927</v>
      </c>
      <c r="X24" s="51">
        <f t="shared" si="3"/>
        <v>0.1282130113803841</v>
      </c>
      <c r="Y24" s="51">
        <f t="shared" si="3"/>
        <v>7.4522202595317166E-2</v>
      </c>
      <c r="Z24" s="51">
        <f t="shared" si="3"/>
        <v>-7.0178412068775953E-2</v>
      </c>
      <c r="AA24" s="51">
        <f t="shared" si="3"/>
        <v>1.2861250978425165E-2</v>
      </c>
      <c r="AB24" s="51">
        <f t="shared" si="3"/>
        <v>-8.8971443710843423E-2</v>
      </c>
      <c r="AC24" s="34">
        <f t="shared" si="6"/>
        <v>65.713661747480131</v>
      </c>
      <c r="AD24" s="36">
        <f t="shared" si="6"/>
        <v>27.97546299327621</v>
      </c>
      <c r="AE24" s="35">
        <f t="shared" si="6"/>
        <v>134.77864926298244</v>
      </c>
      <c r="AF24" s="35">
        <f t="shared" si="6"/>
        <v>126.829090633901</v>
      </c>
      <c r="AG24" s="35">
        <f t="shared" si="6"/>
        <v>106.8150014087979</v>
      </c>
      <c r="AH24" s="35">
        <f t="shared" si="6"/>
        <v>103.53427073306048</v>
      </c>
      <c r="AI24" s="35">
        <f t="shared" si="6"/>
        <v>97.940556716265363</v>
      </c>
      <c r="AJ24" s="51">
        <f>'Data Descriptors 2'!$V24-'Data Descriptors 2'!$X24</f>
        <v>-0.50888735317198319</v>
      </c>
      <c r="AK24" s="51">
        <f>'Data Descriptors 2'!$V24-'Data Descriptors 2'!$Y24</f>
        <v>-0.45519654438691626</v>
      </c>
    </row>
    <row r="25" spans="1:37">
      <c r="A25" s="32">
        <v>1932</v>
      </c>
      <c r="B25" s="33">
        <f>('[1]S&amp;P 500 &amp; Raw Data'!B8-'[1]S&amp;P 500 &amp; Raw Data'!B7+'[1]S&amp;P 500 &amp; Raw Data'!C8)/'[1]S&amp;P 500 &amp; Raw Data'!B7</f>
        <v>-8.642364532019696E-2</v>
      </c>
      <c r="C25" s="33">
        <f>'[1]Small Cap'!B6</f>
        <v>0.20489999999999997</v>
      </c>
      <c r="D25" s="33">
        <v>1.0699999999999999E-2</v>
      </c>
      <c r="E25" s="33">
        <f>'[1]S&amp;P 500 &amp; Raw Data'!F8</f>
        <v>8.7903069904773257E-2</v>
      </c>
      <c r="F25" s="33">
        <f>'[1]S&amp;P 500 &amp; Raw Data'!J8</f>
        <v>0.23589601675740196</v>
      </c>
      <c r="G25" s="33">
        <f>'[1]Home Prices'!B8/'[1]Home Prices'!B7-1</f>
        <v>-0.10466439135381123</v>
      </c>
      <c r="H25" s="33">
        <f>'[1]Gold Prices'!B7/'[1]Gold Prices'!B6-1</f>
        <v>0.21277842907385724</v>
      </c>
      <c r="I25" s="34">
        <f t="shared" si="5"/>
        <v>50.664911000008722</v>
      </c>
      <c r="J25" s="35">
        <f t="shared" si="5"/>
        <v>28.44690698766534</v>
      </c>
      <c r="K25" s="35">
        <f t="shared" si="5"/>
        <v>114.96089357907292</v>
      </c>
      <c r="L25" s="35">
        <f t="shared" si="5"/>
        <v>116.44365970167279</v>
      </c>
      <c r="M25" s="35">
        <f t="shared" si="5"/>
        <v>111.40917253887663</v>
      </c>
      <c r="N25" s="35">
        <f t="shared" si="5"/>
        <v>78.230616302186888</v>
      </c>
      <c r="O25" s="35">
        <f t="shared" si="5"/>
        <v>100.24224806201552</v>
      </c>
      <c r="P25" s="67">
        <f t="shared" si="0"/>
        <v>-9.7123645320196961E-2</v>
      </c>
      <c r="Q25" s="67">
        <f t="shared" si="1"/>
        <v>-0.17432671522497023</v>
      </c>
      <c r="R25" s="68">
        <f>'Data Descriptors 2'!$C25-'Data Descriptors 2'!$B25</f>
        <v>0.29132364532019694</v>
      </c>
      <c r="S25" s="68">
        <f t="shared" si="2"/>
        <v>-0.32231966207759893</v>
      </c>
      <c r="T25" s="32"/>
      <c r="U25" s="69">
        <f>'[1]Inflation Rate'!C30</f>
        <v>-0.1027397</v>
      </c>
      <c r="V25" s="51">
        <f t="shared" si="3"/>
        <v>1.8184304688174668E-2</v>
      </c>
      <c r="W25" s="51">
        <f t="shared" si="3"/>
        <v>0.34286560990160808</v>
      </c>
      <c r="X25" s="51">
        <f t="shared" si="3"/>
        <v>0.12642897495854877</v>
      </c>
      <c r="Y25" s="51">
        <f t="shared" si="3"/>
        <v>0.21247208853971733</v>
      </c>
      <c r="Z25" s="51">
        <f t="shared" si="3"/>
        <v>0.37741078788106641</v>
      </c>
      <c r="AA25" s="51">
        <f t="shared" si="3"/>
        <v>-2.1450757977492518E-3</v>
      </c>
      <c r="AB25" s="51">
        <f t="shared" si="3"/>
        <v>0.35164614892005952</v>
      </c>
      <c r="AC25" s="34">
        <f t="shared" si="6"/>
        <v>66.908618994871958</v>
      </c>
      <c r="AD25" s="36">
        <f t="shared" si="6"/>
        <v>37.567287174745722</v>
      </c>
      <c r="AE25" s="35">
        <f t="shared" si="6"/>
        <v>151.81857573559907</v>
      </c>
      <c r="AF25" s="35">
        <f t="shared" si="6"/>
        <v>153.77673240847906</v>
      </c>
      <c r="AG25" s="35">
        <f t="shared" si="6"/>
        <v>147.12813524800953</v>
      </c>
      <c r="AH25" s="35">
        <f t="shared" si="6"/>
        <v>103.31218187467337</v>
      </c>
      <c r="AI25" s="35">
        <f t="shared" si="6"/>
        <v>132.38097630862674</v>
      </c>
      <c r="AJ25" s="51">
        <f>'Data Descriptors 2'!$V25-'Data Descriptors 2'!$X25</f>
        <v>-0.1082446702703741</v>
      </c>
      <c r="AK25" s="51">
        <f>'Data Descriptors 2'!$V25-'Data Descriptors 2'!$Y25</f>
        <v>-0.19428778385154266</v>
      </c>
    </row>
    <row r="26" spans="1:37">
      <c r="A26" s="32">
        <v>1933</v>
      </c>
      <c r="B26" s="33">
        <f>('[1]S&amp;P 500 &amp; Raw Data'!B9-'[1]S&amp;P 500 &amp; Raw Data'!B8+'[1]S&amp;P 500 &amp; Raw Data'!C9)/'[1]S&amp;P 500 &amp; Raw Data'!B8</f>
        <v>0.49982225433526023</v>
      </c>
      <c r="C26" s="33">
        <f>'[1]Small Cap'!B7</f>
        <v>1.4834000000000001</v>
      </c>
      <c r="D26" s="33">
        <v>9.5999999999999992E-3</v>
      </c>
      <c r="E26" s="33">
        <f>'[1]S&amp;P 500 &amp; Raw Data'!F9</f>
        <v>1.8552720891857361E-2</v>
      </c>
      <c r="F26" s="33">
        <f>'[1]S&amp;P 500 &amp; Raw Data'!J9</f>
        <v>0.1296689369754826</v>
      </c>
      <c r="G26" s="33">
        <f>'[1]Home Prices'!B9/'[1]Home Prices'!B8-1</f>
        <v>-3.811944091486652E-2</v>
      </c>
      <c r="H26" s="33">
        <f>'[1]Gold Prices'!B8/'[1]Gold Prices'!B7-1</f>
        <v>0.27259545674238739</v>
      </c>
      <c r="I26" s="34">
        <f t="shared" si="5"/>
        <v>75.988361031728402</v>
      </c>
      <c r="J26" s="35">
        <f t="shared" si="5"/>
        <v>70.645048813168103</v>
      </c>
      <c r="K26" s="35">
        <f t="shared" si="5"/>
        <v>116.06451815743202</v>
      </c>
      <c r="L26" s="35">
        <f t="shared" si="5"/>
        <v>118.60400641974435</v>
      </c>
      <c r="M26" s="35">
        <f t="shared" si="5"/>
        <v>125.8554815113109</v>
      </c>
      <c r="N26" s="35">
        <f t="shared" si="5"/>
        <v>75.248508946322076</v>
      </c>
      <c r="O26" s="35">
        <f t="shared" si="5"/>
        <v>127.56782945736434</v>
      </c>
      <c r="P26" s="67">
        <f t="shared" si="0"/>
        <v>0.49022225433526023</v>
      </c>
      <c r="Q26" s="67">
        <f t="shared" si="1"/>
        <v>0.48126953344340284</v>
      </c>
      <c r="R26" s="68">
        <f>'Data Descriptors 2'!$C26-'Data Descriptors 2'!$B26</f>
        <v>0.98357774566473988</v>
      </c>
      <c r="S26" s="68">
        <f t="shared" si="2"/>
        <v>0.37015331735977763</v>
      </c>
      <c r="T26" s="32"/>
      <c r="U26" s="69">
        <f>'[1]Inflation Rate'!C31</f>
        <v>7.6336000000000008E-3</v>
      </c>
      <c r="V26" s="51">
        <f t="shared" si="3"/>
        <v>0.48845994648775148</v>
      </c>
      <c r="W26" s="51">
        <f t="shared" si="3"/>
        <v>1.4645863337625902</v>
      </c>
      <c r="X26" s="51">
        <f t="shared" si="3"/>
        <v>1.9515030066485917E-3</v>
      </c>
      <c r="Y26" s="51">
        <f t="shared" si="3"/>
        <v>1.0836400147690162E-2</v>
      </c>
      <c r="Z26" s="51">
        <f t="shared" si="3"/>
        <v>0.12111082537887063</v>
      </c>
      <c r="AA26" s="51">
        <f t="shared" si="3"/>
        <v>-4.5406426418160728E-2</v>
      </c>
      <c r="AB26" s="51">
        <f t="shared" si="3"/>
        <v>0.26295456676155649</v>
      </c>
      <c r="AC26" s="34">
        <f t="shared" si="6"/>
        <v>99.590799448676464</v>
      </c>
      <c r="AD26" s="36">
        <f t="shared" si="6"/>
        <v>92.587822567412928</v>
      </c>
      <c r="AE26" s="35">
        <f t="shared" si="6"/>
        <v>152.1148501426122</v>
      </c>
      <c r="AF26" s="35">
        <f t="shared" si="6"/>
        <v>155.44311861426161</v>
      </c>
      <c r="AG26" s="35">
        <f t="shared" si="6"/>
        <v>164.94694514435008</v>
      </c>
      <c r="AH26" s="35">
        <f t="shared" si="6"/>
        <v>98.621144890281371</v>
      </c>
      <c r="AI26" s="35">
        <f t="shared" si="6"/>
        <v>167.19115858133355</v>
      </c>
      <c r="AJ26" s="51">
        <f>'Data Descriptors 2'!$V26-'Data Descriptors 2'!$X26</f>
        <v>0.48650844348110289</v>
      </c>
      <c r="AK26" s="51">
        <f>'Data Descriptors 2'!$V26-'Data Descriptors 2'!$Y26</f>
        <v>0.47762354634006132</v>
      </c>
    </row>
    <row r="27" spans="1:37">
      <c r="A27" s="32">
        <v>1934</v>
      </c>
      <c r="B27" s="33">
        <f>('[1]S&amp;P 500 &amp; Raw Data'!B10-'[1]S&amp;P 500 &amp; Raw Data'!B9+'[1]S&amp;P 500 &amp; Raw Data'!C10)/'[1]S&amp;P 500 &amp; Raw Data'!B9</f>
        <v>-1.1885656970912803E-2</v>
      </c>
      <c r="C27" s="33">
        <f>'[1]Small Cap'!B8</f>
        <v>0.20010000000000003</v>
      </c>
      <c r="D27" s="33">
        <f>'[1]T. Bill rates'!C12</f>
        <v>2.7833333333333334E-3</v>
      </c>
      <c r="E27" s="33">
        <f>'[1]S&amp;P 500 &amp; Raw Data'!F10</f>
        <v>7.9634426179656104E-2</v>
      </c>
      <c r="F27" s="33">
        <f>'[1]S&amp;P 500 &amp; Raw Data'!J10</f>
        <v>0.18816429268482648</v>
      </c>
      <c r="G27" s="33">
        <f>'[1]Home Prices'!B10/'[1]Home Prices'!B9-1</f>
        <v>2.9062087186261465E-2</v>
      </c>
      <c r="H27" s="33">
        <f>'[1]Gold Prices'!B9/'[1]Gold Prices'!B8-1</f>
        <v>0.31750854538549178</v>
      </c>
      <c r="I27" s="34">
        <f t="shared" si="5"/>
        <v>75.085189438723404</v>
      </c>
      <c r="J27" s="35">
        <f t="shared" si="5"/>
        <v>84.781123080683031</v>
      </c>
      <c r="K27" s="35">
        <f t="shared" si="5"/>
        <v>116.38756439963687</v>
      </c>
      <c r="L27" s="35">
        <f t="shared" si="5"/>
        <v>128.04896841358894</v>
      </c>
      <c r="M27" s="35">
        <f t="shared" si="5"/>
        <v>149.53698917039497</v>
      </c>
      <c r="N27" s="35">
        <f t="shared" si="5"/>
        <v>77.435387673956271</v>
      </c>
      <c r="O27" s="35">
        <f t="shared" si="5"/>
        <v>168.07170542635657</v>
      </c>
      <c r="P27" s="67">
        <f t="shared" si="0"/>
        <v>-1.4668990304246137E-2</v>
      </c>
      <c r="Q27" s="67">
        <f t="shared" si="1"/>
        <v>-9.1520083150568907E-2</v>
      </c>
      <c r="R27" s="68">
        <f>'Data Descriptors 2'!$C27-'Data Descriptors 2'!$B27</f>
        <v>0.21198565697091282</v>
      </c>
      <c r="S27" s="68">
        <f t="shared" si="2"/>
        <v>-0.2000499496557393</v>
      </c>
      <c r="T27" s="32"/>
      <c r="U27" s="69">
        <f>'[1]Inflation Rate'!C32</f>
        <v>1.51515E-2</v>
      </c>
      <c r="V27" s="51">
        <f t="shared" si="3"/>
        <v>-2.6633617712147228E-2</v>
      </c>
      <c r="W27" s="51">
        <f t="shared" si="3"/>
        <v>0.18218807734609066</v>
      </c>
      <c r="X27" s="51">
        <f t="shared" si="3"/>
        <v>-1.2183567346023327E-2</v>
      </c>
      <c r="Y27" s="51">
        <f t="shared" si="3"/>
        <v>6.3520495393698306E-2</v>
      </c>
      <c r="Z27" s="51">
        <f t="shared" si="3"/>
        <v>0.17043051474073234</v>
      </c>
      <c r="AA27" s="51">
        <f t="shared" si="3"/>
        <v>1.370296668651072E-2</v>
      </c>
      <c r="AB27" s="51">
        <f t="shared" si="3"/>
        <v>0.29784425810875703</v>
      </c>
      <c r="AC27" s="34">
        <f t="shared" si="6"/>
        <v>96.938336168513288</v>
      </c>
      <c r="AD27" s="36">
        <f t="shared" si="6"/>
        <v>109.45621994663087</v>
      </c>
      <c r="AE27" s="35">
        <f t="shared" si="6"/>
        <v>150.26154862156943</v>
      </c>
      <c r="AF27" s="35">
        <f t="shared" si="6"/>
        <v>165.31694251418091</v>
      </c>
      <c r="AG27" s="35">
        <f t="shared" si="6"/>
        <v>193.05893791021302</v>
      </c>
      <c r="AH27" s="35">
        <f t="shared" si="6"/>
        <v>99.97254715329845</v>
      </c>
      <c r="AI27" s="35">
        <f t="shared" si="6"/>
        <v>216.9880851713344</v>
      </c>
      <c r="AJ27" s="51">
        <f>'Data Descriptors 2'!$V27-'Data Descriptors 2'!$X27</f>
        <v>-1.4450050366123901E-2</v>
      </c>
      <c r="AK27" s="51">
        <f>'Data Descriptors 2'!$V27-'Data Descriptors 2'!$Y27</f>
        <v>-9.0154113105845535E-2</v>
      </c>
    </row>
    <row r="28" spans="1:37">
      <c r="A28" s="32">
        <v>1935</v>
      </c>
      <c r="B28" s="33">
        <f>('[1]S&amp;P 500 &amp; Raw Data'!B11-'[1]S&amp;P 500 &amp; Raw Data'!B10+'[1]S&amp;P 500 &amp; Raw Data'!C11)/'[1]S&amp;P 500 &amp; Raw Data'!B10</f>
        <v>0.46740421052631581</v>
      </c>
      <c r="C28" s="33">
        <f>'[1]Small Cap'!B9</f>
        <v>0.53180000000000005</v>
      </c>
      <c r="D28" s="33">
        <f>'[1]T. Bill rates'!C13</f>
        <v>1.6750000000000001E-3</v>
      </c>
      <c r="E28" s="33">
        <f>'[1]S&amp;P 500 &amp; Raw Data'!F11</f>
        <v>4.4720477296566127E-2</v>
      </c>
      <c r="F28" s="33">
        <f>'[1]S&amp;P 500 &amp; Raw Data'!J11</f>
        <v>0.1330773186567917</v>
      </c>
      <c r="G28" s="33">
        <f>'[1]Home Prices'!B11/'[1]Home Prices'!B10-1</f>
        <v>9.7658337262297445E-2</v>
      </c>
      <c r="H28" s="33">
        <f>'[1]Gold Prices'!B10/'[1]Gold Prices'!B9-1</f>
        <v>4.3240126837706949E-3</v>
      </c>
      <c r="I28" s="34">
        <f t="shared" si="5"/>
        <v>110.18032313054879</v>
      </c>
      <c r="J28" s="35">
        <f t="shared" si="5"/>
        <v>129.86772433499027</v>
      </c>
      <c r="K28" s="35">
        <f t="shared" si="5"/>
        <v>116.58251357000627</v>
      </c>
      <c r="L28" s="35">
        <f t="shared" si="5"/>
        <v>133.77537939837757</v>
      </c>
      <c r="M28" s="35">
        <f t="shared" si="5"/>
        <v>169.43697072920085</v>
      </c>
      <c r="N28" s="35">
        <f t="shared" si="5"/>
        <v>84.997598879456248</v>
      </c>
      <c r="O28" s="35">
        <f t="shared" si="5"/>
        <v>168.79844961240312</v>
      </c>
      <c r="P28" s="67">
        <f t="shared" si="0"/>
        <v>0.46572921052631583</v>
      </c>
      <c r="Q28" s="67">
        <f t="shared" si="1"/>
        <v>0.42268373322974967</v>
      </c>
      <c r="R28" s="68">
        <f>'Data Descriptors 2'!$C28-'Data Descriptors 2'!$B28</f>
        <v>6.439578947368424E-2</v>
      </c>
      <c r="S28" s="68">
        <f t="shared" si="2"/>
        <v>0.33432689186952413</v>
      </c>
      <c r="T28" s="32"/>
      <c r="U28" s="69">
        <f>'[1]Inflation Rate'!C33</f>
        <v>2.9850699999999997E-2</v>
      </c>
      <c r="V28" s="51">
        <f t="shared" si="3"/>
        <v>0.42487081916467706</v>
      </c>
      <c r="W28" s="51">
        <f t="shared" si="3"/>
        <v>0.48740006682522052</v>
      </c>
      <c r="X28" s="51">
        <f t="shared" si="3"/>
        <v>-2.7359014272651194E-2</v>
      </c>
      <c r="Y28" s="51">
        <f t="shared" si="3"/>
        <v>1.4438769907682891E-2</v>
      </c>
      <c r="Z28" s="51">
        <f t="shared" si="3"/>
        <v>0.10023454725698766</v>
      </c>
      <c r="AA28" s="51">
        <f t="shared" si="3"/>
        <v>6.5842201459199501E-2</v>
      </c>
      <c r="AB28" s="51">
        <f t="shared" si="3"/>
        <v>-2.4786784449657762E-2</v>
      </c>
      <c r="AC28" s="34">
        <f t="shared" si="6"/>
        <v>138.12460646489038</v>
      </c>
      <c r="AD28" s="36">
        <f t="shared" si="6"/>
        <v>162.80518886305478</v>
      </c>
      <c r="AE28" s="35">
        <f t="shared" si="6"/>
        <v>146.15054076820124</v>
      </c>
      <c r="AF28" s="35">
        <f t="shared" si="6"/>
        <v>167.70391580898482</v>
      </c>
      <c r="AG28" s="35">
        <f t="shared" si="6"/>
        <v>212.41011314555811</v>
      </c>
      <c r="AH28" s="35">
        <f t="shared" si="6"/>
        <v>106.55495974335525</v>
      </c>
      <c r="AI28" s="35">
        <f t="shared" si="6"/>
        <v>211.60964827604855</v>
      </c>
      <c r="AJ28" s="51">
        <f>'Data Descriptors 2'!$V28-'Data Descriptors 2'!$X28</f>
        <v>0.45222983343732825</v>
      </c>
      <c r="AK28" s="51">
        <f>'Data Descriptors 2'!$V28-'Data Descriptors 2'!$Y28</f>
        <v>0.41043204925699417</v>
      </c>
    </row>
    <row r="29" spans="1:37">
      <c r="A29" s="32">
        <v>1936</v>
      </c>
      <c r="B29" s="33">
        <f>('[1]S&amp;P 500 &amp; Raw Data'!B12-'[1]S&amp;P 500 &amp; Raw Data'!B11+'[1]S&amp;P 500 &amp; Raw Data'!C12)/'[1]S&amp;P 500 &amp; Raw Data'!B11</f>
        <v>0.31943410275502609</v>
      </c>
      <c r="C29" s="33">
        <f>'[1]Small Cap'!B10</f>
        <v>0.92819999999999991</v>
      </c>
      <c r="D29" s="33">
        <f>'[1]T. Bill rates'!C14</f>
        <v>1.725E-3</v>
      </c>
      <c r="E29" s="33">
        <f>'[1]S&amp;P 500 &amp; Raw Data'!F12</f>
        <v>5.0178754045450601E-2</v>
      </c>
      <c r="F29" s="33">
        <f>'[1]S&amp;P 500 &amp; Raw Data'!J12</f>
        <v>0.11383815871922703</v>
      </c>
      <c r="G29" s="33">
        <f>'[1]Home Prices'!B12/'[1]Home Prices'!B11-1</f>
        <v>3.2186014546704111E-2</v>
      </c>
      <c r="H29" s="33">
        <f>'[1]Gold Prices'!B11/'[1]Gold Prices'!B10-1</f>
        <v>8.61079219288019E-4</v>
      </c>
      <c r="I29" s="34">
        <f t="shared" si="5"/>
        <v>145.37567579101449</v>
      </c>
      <c r="J29" s="35">
        <f t="shared" si="5"/>
        <v>250.41094606272824</v>
      </c>
      <c r="K29" s="35">
        <f t="shared" si="5"/>
        <v>116.78361840591452</v>
      </c>
      <c r="L29" s="35">
        <f t="shared" si="5"/>
        <v>140.4880612585456</v>
      </c>
      <c r="M29" s="35">
        <f t="shared" si="5"/>
        <v>188.72536349597664</v>
      </c>
      <c r="N29" s="35">
        <f t="shared" si="5"/>
        <v>87.733332833425351</v>
      </c>
      <c r="O29" s="35">
        <f t="shared" si="5"/>
        <v>168.94379844961239</v>
      </c>
      <c r="P29" s="67">
        <f t="shared" si="0"/>
        <v>0.31770910275502612</v>
      </c>
      <c r="Q29" s="67">
        <f t="shared" si="1"/>
        <v>0.26925534870957551</v>
      </c>
      <c r="R29" s="68">
        <f>'Data Descriptors 2'!$C29-'Data Descriptors 2'!$B29</f>
        <v>0.60876589724497387</v>
      </c>
      <c r="S29" s="68">
        <f t="shared" si="2"/>
        <v>0.20559594403579906</v>
      </c>
      <c r="T29" s="32"/>
      <c r="U29" s="69">
        <f>'[1]Inflation Rate'!C34</f>
        <v>1.4492799999999998E-2</v>
      </c>
      <c r="V29" s="51">
        <f t="shared" si="3"/>
        <v>0.30058498468892636</v>
      </c>
      <c r="W29" s="51">
        <f t="shared" si="3"/>
        <v>0.90065419882723652</v>
      </c>
      <c r="X29" s="51">
        <f t="shared" si="3"/>
        <v>-1.2585402281810154E-2</v>
      </c>
      <c r="Y29" s="51">
        <f t="shared" si="3"/>
        <v>3.5176153093891438E-2</v>
      </c>
      <c r="Z29" s="51">
        <f t="shared" si="3"/>
        <v>9.7926134832329037E-2</v>
      </c>
      <c r="AA29" s="51">
        <f t="shared" si="3"/>
        <v>1.7440453541616163E-2</v>
      </c>
      <c r="AB29" s="51">
        <f t="shared" si="3"/>
        <v>-1.3436981298154071E-2</v>
      </c>
      <c r="AC29" s="34">
        <f t="shared" si="6"/>
        <v>179.64278918430344</v>
      </c>
      <c r="AD29" s="36">
        <f t="shared" si="6"/>
        <v>309.43636580342633</v>
      </c>
      <c r="AE29" s="35">
        <f t="shared" si="6"/>
        <v>144.31117741892933</v>
      </c>
      <c r="AF29" s="35">
        <f t="shared" si="6"/>
        <v>173.60309442592674</v>
      </c>
      <c r="AG29" s="35">
        <f t="shared" si="6"/>
        <v>233.2106145252003</v>
      </c>
      <c r="AH29" s="35">
        <f t="shared" si="6"/>
        <v>108.41332656838803</v>
      </c>
      <c r="AI29" s="35">
        <f t="shared" si="6"/>
        <v>208.76625338965431</v>
      </c>
      <c r="AJ29" s="51">
        <f>'Data Descriptors 2'!$V29-'Data Descriptors 2'!$X29</f>
        <v>0.31317038697073651</v>
      </c>
      <c r="AK29" s="51">
        <f>'Data Descriptors 2'!$V29-'Data Descriptors 2'!$Y29</f>
        <v>0.26540883159503492</v>
      </c>
    </row>
    <row r="30" spans="1:37">
      <c r="A30" s="32">
        <v>1937</v>
      </c>
      <c r="B30" s="33">
        <f>('[1]S&amp;P 500 &amp; Raw Data'!B13-'[1]S&amp;P 500 &amp; Raw Data'!B12+'[1]S&amp;P 500 &amp; Raw Data'!C13)/'[1]S&amp;P 500 &amp; Raw Data'!B12</f>
        <v>-0.35336728754365537</v>
      </c>
      <c r="C30" s="33">
        <f>'[1]Small Cap'!B11</f>
        <v>-0.53280000000000005</v>
      </c>
      <c r="D30" s="33">
        <f>'[1]T. Bill rates'!C15</f>
        <v>2.7583333333333331E-3</v>
      </c>
      <c r="E30" s="33">
        <f>'[1]S&amp;P 500 &amp; Raw Data'!F13</f>
        <v>1.379146059646038E-2</v>
      </c>
      <c r="F30" s="33">
        <f>'[1]S&amp;P 500 &amp; Raw Data'!J13</f>
        <v>-4.4161916839982614E-2</v>
      </c>
      <c r="G30" s="33">
        <f>'[1]Home Prices'!B13/'[1]Home Prices'!B12-1</f>
        <v>2.5633912223270494E-2</v>
      </c>
      <c r="H30" s="33">
        <f>'[1]Gold Prices'!B12/'[1]Gold Prices'!B11-1</f>
        <v>-2.2942357327214724E-3</v>
      </c>
      <c r="I30" s="34">
        <f t="shared" si="5"/>
        <v>94.004667561917856</v>
      </c>
      <c r="J30" s="35">
        <f t="shared" si="5"/>
        <v>116.99199400050662</v>
      </c>
      <c r="K30" s="35">
        <f t="shared" si="5"/>
        <v>117.10574655335085</v>
      </c>
      <c r="L30" s="35">
        <f t="shared" si="5"/>
        <v>142.42559681966594</v>
      </c>
      <c r="M30" s="35">
        <f t="shared" si="5"/>
        <v>180.39088968767183</v>
      </c>
      <c r="N30" s="35">
        <f t="shared" si="5"/>
        <v>89.982281386332346</v>
      </c>
      <c r="O30" s="35">
        <f t="shared" si="5"/>
        <v>168.55620155038758</v>
      </c>
      <c r="P30" s="67">
        <f t="shared" si="0"/>
        <v>-0.35612562087698868</v>
      </c>
      <c r="Q30" s="67">
        <f t="shared" si="1"/>
        <v>-0.36715874814011573</v>
      </c>
      <c r="R30" s="68">
        <f>'Data Descriptors 2'!$C30-'Data Descriptors 2'!$B30</f>
        <v>-0.17943271245634468</v>
      </c>
      <c r="S30" s="68">
        <f t="shared" si="2"/>
        <v>-0.30920537070367277</v>
      </c>
      <c r="T30" s="32"/>
      <c r="U30" s="69">
        <f>'[1]Inflation Rate'!C35</f>
        <v>2.8571399999999997E-2</v>
      </c>
      <c r="V30" s="51">
        <f t="shared" si="3"/>
        <v>-0.37132928987103397</v>
      </c>
      <c r="W30" s="51">
        <f t="shared" si="3"/>
        <v>-0.54577776516049348</v>
      </c>
      <c r="X30" s="51">
        <f t="shared" si="3"/>
        <v>-2.5096037734149035E-2</v>
      </c>
      <c r="Y30" s="51">
        <f t="shared" si="3"/>
        <v>-1.4369385930368517E-2</v>
      </c>
      <c r="Z30" s="51">
        <f t="shared" si="3"/>
        <v>-7.0712948892009408E-2</v>
      </c>
      <c r="AA30" s="51">
        <f t="shared" si="3"/>
        <v>-2.8558909733727988E-3</v>
      </c>
      <c r="AB30" s="51">
        <f t="shared" si="3"/>
        <v>-3.0008257795930748E-2</v>
      </c>
      <c r="AC30" s="34">
        <f t="shared" si="6"/>
        <v>112.93615984604418</v>
      </c>
      <c r="AD30" s="36">
        <f t="shared" si="6"/>
        <v>140.55287761584736</v>
      </c>
      <c r="AE30" s="35">
        <f t="shared" si="6"/>
        <v>140.6895386649644</v>
      </c>
      <c r="AF30" s="35">
        <f t="shared" si="6"/>
        <v>171.10852456341439</v>
      </c>
      <c r="AG30" s="35">
        <f t="shared" si="6"/>
        <v>216.71960425920571</v>
      </c>
      <c r="AH30" s="35">
        <f t="shared" si="6"/>
        <v>108.10370992764805</v>
      </c>
      <c r="AI30" s="35">
        <f t="shared" si="6"/>
        <v>202.50154183884698</v>
      </c>
      <c r="AJ30" s="51">
        <f>'Data Descriptors 2'!$V30-'Data Descriptors 2'!$X30</f>
        <v>-0.34623325213688494</v>
      </c>
      <c r="AK30" s="51">
        <f>'Data Descriptors 2'!$V30-'Data Descriptors 2'!$Y30</f>
        <v>-0.35695990394066546</v>
      </c>
    </row>
    <row r="31" spans="1:37">
      <c r="A31" s="32">
        <v>1938</v>
      </c>
      <c r="B31" s="33">
        <f>('[1]S&amp;P 500 &amp; Raw Data'!B14-'[1]S&amp;P 500 &amp; Raw Data'!B13+'[1]S&amp;P 500 &amp; Raw Data'!C14)/'[1]S&amp;P 500 &amp; Raw Data'!B13</f>
        <v>0.29282654028436017</v>
      </c>
      <c r="C31" s="33">
        <f>'[1]Small Cap'!B12</f>
        <v>1.6E-2</v>
      </c>
      <c r="D31" s="33">
        <f>'[1]T. Bill rates'!C16</f>
        <v>6.4999999999999997E-4</v>
      </c>
      <c r="E31" s="33">
        <f>'[1]S&amp;P 500 &amp; Raw Data'!F14</f>
        <v>4.2132485322046068E-2</v>
      </c>
      <c r="F31" s="33">
        <f>'[1]S&amp;P 500 &amp; Raw Data'!J14</f>
        <v>9.2358817136874202E-2</v>
      </c>
      <c r="G31" s="33">
        <f>'[1]Home Prices'!B14/'[1]Home Prices'!B13-1</f>
        <v>-8.7368136326751999E-3</v>
      </c>
      <c r="H31" s="33">
        <f>'[1]Gold Prices'!B13/'[1]Gold Prices'!B12-1</f>
        <v>1.7246335153779935E-3</v>
      </c>
      <c r="I31" s="34">
        <f t="shared" si="5"/>
        <v>121.53172913465568</v>
      </c>
      <c r="J31" s="35">
        <f t="shared" si="5"/>
        <v>118.86386590451473</v>
      </c>
      <c r="K31" s="35">
        <f t="shared" si="5"/>
        <v>117.18186528861054</v>
      </c>
      <c r="L31" s="35">
        <f t="shared" si="5"/>
        <v>148.42634118715418</v>
      </c>
      <c r="M31" s="35">
        <f t="shared" si="5"/>
        <v>197.05157888149355</v>
      </c>
      <c r="N31" s="35">
        <f t="shared" si="5"/>
        <v>89.196122963617029</v>
      </c>
      <c r="O31" s="35">
        <f t="shared" si="5"/>
        <v>168.84689922480618</v>
      </c>
      <c r="P31" s="67">
        <f t="shared" si="0"/>
        <v>0.29217654028436019</v>
      </c>
      <c r="Q31" s="67">
        <f t="shared" si="1"/>
        <v>0.25069405496231412</v>
      </c>
      <c r="R31" s="68">
        <f>'Data Descriptors 2'!$C31-'Data Descriptors 2'!$B31</f>
        <v>-0.27682654028436016</v>
      </c>
      <c r="S31" s="68">
        <f t="shared" si="2"/>
        <v>0.20046772314748595</v>
      </c>
      <c r="T31" s="32"/>
      <c r="U31" s="69">
        <f>'[1]Inflation Rate'!C36</f>
        <v>-2.7777799999999998E-2</v>
      </c>
      <c r="V31" s="51">
        <f t="shared" si="3"/>
        <v>0.32976447182995838</v>
      </c>
      <c r="W31" s="51">
        <f t="shared" si="3"/>
        <v>4.502859531493919E-2</v>
      </c>
      <c r="X31" s="51">
        <f t="shared" si="3"/>
        <v>2.9240023525486158E-2</v>
      </c>
      <c r="Y31" s="51">
        <f t="shared" si="3"/>
        <v>7.1907723689138336E-2</v>
      </c>
      <c r="Z31" s="51">
        <f t="shared" si="3"/>
        <v>0.12356909473664968</v>
      </c>
      <c r="AA31" s="51">
        <f t="shared" si="3"/>
        <v>1.9585014996905903E-2</v>
      </c>
      <c r="AB31" s="51">
        <f t="shared" si="3"/>
        <v>3.0345360880854155E-2</v>
      </c>
      <c r="AC31" s="34">
        <f t="shared" si="6"/>
        <v>150.1784929481787</v>
      </c>
      <c r="AD31" s="36">
        <f t="shared" si="6"/>
        <v>146.88177626236154</v>
      </c>
      <c r="AE31" s="35">
        <f t="shared" si="6"/>
        <v>144.80330408531776</v>
      </c>
      <c r="AF31" s="35">
        <f t="shared" si="6"/>
        <v>183.41254906857654</v>
      </c>
      <c r="AG31" s="35">
        <f t="shared" si="6"/>
        <v>243.49944956920072</v>
      </c>
      <c r="AH31" s="35">
        <f t="shared" si="6"/>
        <v>110.2209227078022</v>
      </c>
      <c r="AI31" s="35">
        <f t="shared" si="6"/>
        <v>208.64652420487619</v>
      </c>
      <c r="AJ31" s="51">
        <f>'Data Descriptors 2'!$V31-'Data Descriptors 2'!$X31</f>
        <v>0.30052444830447222</v>
      </c>
      <c r="AK31" s="51">
        <f>'Data Descriptors 2'!$V31-'Data Descriptors 2'!$Y31</f>
        <v>0.25785674814082005</v>
      </c>
    </row>
    <row r="32" spans="1:37">
      <c r="A32" s="32">
        <v>1939</v>
      </c>
      <c r="B32" s="33">
        <f>('[1]S&amp;P 500 &amp; Raw Data'!B15-'[1]S&amp;P 500 &amp; Raw Data'!B14+'[1]S&amp;P 500 &amp; Raw Data'!C15)/'[1]S&amp;P 500 &amp; Raw Data'!B14</f>
        <v>-1.0975646879756443E-2</v>
      </c>
      <c r="C32" s="33">
        <f>'[1]Small Cap'!B13</f>
        <v>-5.7300000000000004E-2</v>
      </c>
      <c r="D32" s="33">
        <f>'[1]T. Bill rates'!C17</f>
        <v>4.5833333333333332E-4</v>
      </c>
      <c r="E32" s="33">
        <f>'[1]S&amp;P 500 &amp; Raw Data'!F15</f>
        <v>4.4122613942060671E-2</v>
      </c>
      <c r="F32" s="33">
        <f>'[1]S&amp;P 500 &amp; Raw Data'!J15</f>
        <v>7.9831377653461405E-2</v>
      </c>
      <c r="G32" s="33">
        <f>'[1]Home Prices'!B15/'[1]Home Prices'!B14-1</f>
        <v>-1.3016072256937905E-2</v>
      </c>
      <c r="H32" s="33">
        <f>'[1]Gold Prices'!B14/'[1]Gold Prices'!B13-1</f>
        <v>-1.2338593974175027E-2</v>
      </c>
      <c r="I32" s="34">
        <f t="shared" si="5"/>
        <v>120.19783979098749</v>
      </c>
      <c r="J32" s="35">
        <f t="shared" si="5"/>
        <v>112.05296638818604</v>
      </c>
      <c r="K32" s="35">
        <f t="shared" si="5"/>
        <v>117.23557364353447</v>
      </c>
      <c r="L32" s="35">
        <f t="shared" si="5"/>
        <v>154.97529933818757</v>
      </c>
      <c r="M32" s="35">
        <f t="shared" si="5"/>
        <v>212.7824778923929</v>
      </c>
      <c r="N32" s="35">
        <f t="shared" si="5"/>
        <v>88.035139782083874</v>
      </c>
      <c r="O32" s="35">
        <f t="shared" si="5"/>
        <v>166.76356589147284</v>
      </c>
      <c r="P32" s="67">
        <f t="shared" si="0"/>
        <v>-1.1433980213089777E-2</v>
      </c>
      <c r="Q32" s="67">
        <f t="shared" si="1"/>
        <v>-5.509826082181711E-2</v>
      </c>
      <c r="R32" s="68">
        <f>'Data Descriptors 2'!$C32-'Data Descriptors 2'!$B32</f>
        <v>-4.6324353120243564E-2</v>
      </c>
      <c r="S32" s="68">
        <f t="shared" si="2"/>
        <v>-9.0807024533217845E-2</v>
      </c>
      <c r="T32" s="32"/>
      <c r="U32" s="69">
        <f>'[1]Inflation Rate'!C37</f>
        <v>0</v>
      </c>
      <c r="V32" s="51">
        <f t="shared" si="3"/>
        <v>-1.0975646879756495E-2</v>
      </c>
      <c r="W32" s="51">
        <f t="shared" si="3"/>
        <v>-5.7300000000000018E-2</v>
      </c>
      <c r="X32" s="51">
        <f t="shared" si="3"/>
        <v>4.5833333333322734E-4</v>
      </c>
      <c r="Y32" s="51">
        <f t="shared" si="3"/>
        <v>4.412261394206074E-2</v>
      </c>
      <c r="Z32" s="51">
        <f t="shared" si="3"/>
        <v>7.9831377653461377E-2</v>
      </c>
      <c r="AA32" s="51">
        <f t="shared" si="3"/>
        <v>-1.3016072256937905E-2</v>
      </c>
      <c r="AB32" s="51">
        <f t="shared" si="3"/>
        <v>-1.2338593974175027E-2</v>
      </c>
      <c r="AC32" s="34">
        <f t="shared" si="6"/>
        <v>148.53018684064548</v>
      </c>
      <c r="AD32" s="36">
        <f t="shared" si="6"/>
        <v>138.46545048252821</v>
      </c>
      <c r="AE32" s="35">
        <f t="shared" si="6"/>
        <v>144.86967226635684</v>
      </c>
      <c r="AF32" s="35">
        <f t="shared" si="6"/>
        <v>191.50519016325862</v>
      </c>
      <c r="AG32" s="35">
        <f t="shared" si="6"/>
        <v>262.93834608616953</v>
      </c>
      <c r="AH32" s="35">
        <f t="shared" si="6"/>
        <v>108.78627921361108</v>
      </c>
      <c r="AI32" s="35">
        <f t="shared" si="6"/>
        <v>206.07211945858933</v>
      </c>
      <c r="AJ32" s="51">
        <f>'Data Descriptors 2'!$V32-'Data Descriptors 2'!$X32</f>
        <v>-1.1433980213089723E-2</v>
      </c>
      <c r="AK32" s="51">
        <f>'Data Descriptors 2'!$V32-'Data Descriptors 2'!$Y32</f>
        <v>-5.5098260821817235E-2</v>
      </c>
    </row>
    <row r="33" spans="1:37">
      <c r="A33" s="32">
        <v>1940</v>
      </c>
      <c r="B33" s="33">
        <f>('[1]S&amp;P 500 &amp; Raw Data'!B16-'[1]S&amp;P 500 &amp; Raw Data'!B15+'[1]S&amp;P 500 &amp; Raw Data'!C16)/'[1]S&amp;P 500 &amp; Raw Data'!B15</f>
        <v>-0.10672873194221515</v>
      </c>
      <c r="C33" s="33">
        <f>'[1]Small Cap'!B14</f>
        <v>-0.31809999999999999</v>
      </c>
      <c r="D33" s="33">
        <f>'[1]T. Bill rates'!C18</f>
        <v>3.5833333333333333E-4</v>
      </c>
      <c r="E33" s="33">
        <f>'[1]S&amp;P 500 &amp; Raw Data'!F16</f>
        <v>5.4024815962845509E-2</v>
      </c>
      <c r="F33" s="33">
        <f>'[1]S&amp;P 500 &amp; Raw Data'!J16</f>
        <v>8.6481371775829569E-2</v>
      </c>
      <c r="G33" s="33">
        <f>'[1]Home Prices'!B16/'[1]Home Prices'!B15-1</f>
        <v>3.306607685927565E-2</v>
      </c>
      <c r="H33" s="33">
        <f>'[1]Gold Prices'!B15/'[1]Gold Prices'!B14-1</f>
        <v>-1.6560139453805967E-2</v>
      </c>
      <c r="I33" s="34">
        <f t="shared" si="5"/>
        <v>107.36927676790187</v>
      </c>
      <c r="J33" s="35">
        <f t="shared" si="5"/>
        <v>76.408917780104048</v>
      </c>
      <c r="K33" s="35">
        <f t="shared" si="5"/>
        <v>117.27758305742339</v>
      </c>
      <c r="L33" s="35">
        <f t="shared" si="5"/>
        <v>163.34781136372007</v>
      </c>
      <c r="M33" s="35">
        <f t="shared" si="5"/>
        <v>231.18419847038714</v>
      </c>
      <c r="N33" s="35">
        <f t="shared" si="5"/>
        <v>90.946116480435336</v>
      </c>
      <c r="O33" s="35">
        <f t="shared" si="5"/>
        <v>164.0019379844961</v>
      </c>
      <c r="P33" s="67">
        <f t="shared" si="0"/>
        <v>-0.10708706527554848</v>
      </c>
      <c r="Q33" s="67">
        <f t="shared" si="1"/>
        <v>-0.16075354790506066</v>
      </c>
      <c r="R33" s="68">
        <f>'Data Descriptors 2'!$C33-'Data Descriptors 2'!$B33</f>
        <v>-0.21137126805778483</v>
      </c>
      <c r="S33" s="68">
        <f t="shared" si="2"/>
        <v>-0.1932101037180447</v>
      </c>
      <c r="T33" s="32"/>
      <c r="U33" s="69">
        <f>'[1]Inflation Rate'!C38</f>
        <v>7.1428999999999998E-3</v>
      </c>
      <c r="V33" s="51">
        <f t="shared" si="3"/>
        <v>-0.1130640269044394</v>
      </c>
      <c r="W33" s="51">
        <f t="shared" si="3"/>
        <v>-0.32293619902399162</v>
      </c>
      <c r="X33" s="51">
        <f t="shared" si="3"/>
        <v>-6.7364488859196214E-3</v>
      </c>
      <c r="Y33" s="51">
        <f t="shared" si="3"/>
        <v>4.6549418124126607E-2</v>
      </c>
      <c r="Z33" s="51">
        <f t="shared" si="3"/>
        <v>7.8775784226676748E-2</v>
      </c>
      <c r="AA33" s="51">
        <f t="shared" si="3"/>
        <v>2.5739323445834295E-2</v>
      </c>
      <c r="AB33" s="51">
        <f t="shared" si="3"/>
        <v>-2.3534931789526592E-2</v>
      </c>
      <c r="AC33" s="34">
        <f t="shared" si="6"/>
        <v>131.73676579957333</v>
      </c>
      <c r="AD33" s="36">
        <f t="shared" si="6"/>
        <v>93.749944207555828</v>
      </c>
      <c r="AE33" s="35">
        <f t="shared" si="6"/>
        <v>143.89376512401461</v>
      </c>
      <c r="AF33" s="35">
        <f t="shared" si="6"/>
        <v>200.41964533310852</v>
      </c>
      <c r="AG33" s="35">
        <f t="shared" si="6"/>
        <v>283.65152050237288</v>
      </c>
      <c r="AH33" s="35">
        <f t="shared" si="6"/>
        <v>111.58636444075906</v>
      </c>
      <c r="AI33" s="35">
        <f t="shared" si="6"/>
        <v>201.22222618340825</v>
      </c>
      <c r="AJ33" s="51">
        <f>'Data Descriptors 2'!$V33-'Data Descriptors 2'!$X33</f>
        <v>-0.10632757801851977</v>
      </c>
      <c r="AK33" s="51">
        <f>'Data Descriptors 2'!$V33-'Data Descriptors 2'!$Y33</f>
        <v>-0.159613445028566</v>
      </c>
    </row>
    <row r="34" spans="1:37">
      <c r="A34" s="32">
        <v>1941</v>
      </c>
      <c r="B34" s="33">
        <f>('[1]S&amp;P 500 &amp; Raw Data'!B17-'[1]S&amp;P 500 &amp; Raw Data'!B16+'[1]S&amp;P 500 &amp; Raw Data'!C17)/'[1]S&amp;P 500 &amp; Raw Data'!B16</f>
        <v>-0.12771455576559551</v>
      </c>
      <c r="C34" s="33">
        <f>'[1]Small Cap'!B15</f>
        <v>-5.5399999999999998E-2</v>
      </c>
      <c r="D34" s="33">
        <f>'[1]T. Bill rates'!C19</f>
        <v>1.2916666666666669E-3</v>
      </c>
      <c r="E34" s="33">
        <f>'[1]S&amp;P 500 &amp; Raw Data'!F17</f>
        <v>-2.0221975848580105E-2</v>
      </c>
      <c r="F34" s="33">
        <f>'[1]S&amp;P 500 &amp; Raw Data'!J17</f>
        <v>5.0071728572759232E-2</v>
      </c>
      <c r="G34" s="33">
        <f>'[1]Home Prices'!B17/'[1]Home Prices'!B16-1</f>
        <v>-8.384627736444894E-2</v>
      </c>
      <c r="H34" s="33">
        <f>'[1]Gold Prices'!B16/'[1]Gold Prices'!B15-1</f>
        <v>0</v>
      </c>
      <c r="I34" s="34">
        <f t="shared" si="5"/>
        <v>93.656657282615996</v>
      </c>
      <c r="J34" s="35">
        <f t="shared" si="5"/>
        <v>72.175863735086281</v>
      </c>
      <c r="K34" s="35">
        <f t="shared" si="5"/>
        <v>117.42906660220589</v>
      </c>
      <c r="L34" s="35">
        <f t="shared" si="5"/>
        <v>160.0445958674045</v>
      </c>
      <c r="M34" s="35">
        <f t="shared" si="5"/>
        <v>242.75999090650726</v>
      </c>
      <c r="N34" s="35">
        <f t="shared" si="5"/>
        <v>83.320623172797269</v>
      </c>
      <c r="O34" s="35">
        <f t="shared" si="5"/>
        <v>164.0019379844961</v>
      </c>
      <c r="P34" s="67">
        <f t="shared" si="0"/>
        <v>-0.12900622243226217</v>
      </c>
      <c r="Q34" s="67">
        <f t="shared" si="1"/>
        <v>-0.10749257991701541</v>
      </c>
      <c r="R34" s="68">
        <f>'Data Descriptors 2'!$C34-'Data Descriptors 2'!$B34</f>
        <v>7.2314555765595506E-2</v>
      </c>
      <c r="S34" s="68">
        <f t="shared" si="2"/>
        <v>-0.17778628433835475</v>
      </c>
      <c r="T34" s="32"/>
      <c r="U34" s="69">
        <f>'[1]Inflation Rate'!C39</f>
        <v>9.9290800000000012E-2</v>
      </c>
      <c r="V34" s="51">
        <f t="shared" si="3"/>
        <v>-0.20650164248222169</v>
      </c>
      <c r="W34" s="51">
        <f t="shared" si="3"/>
        <v>-0.14071872519991968</v>
      </c>
      <c r="X34" s="51">
        <f t="shared" si="3"/>
        <v>-8.9147597099269116E-2</v>
      </c>
      <c r="Y34" s="51">
        <f t="shared" si="3"/>
        <v>-0.10871807154993018</v>
      </c>
      <c r="Z34" s="51">
        <f t="shared" si="3"/>
        <v>-4.4773477070162548E-2</v>
      </c>
      <c r="AA34" s="51">
        <f t="shared" si="3"/>
        <v>-0.16659566091560929</v>
      </c>
      <c r="AB34" s="51">
        <f t="shared" si="3"/>
        <v>-9.0322597078043354E-2</v>
      </c>
      <c r="AC34" s="34">
        <f t="shared" si="6"/>
        <v>104.53290728666568</v>
      </c>
      <c r="AD34" s="36">
        <f t="shared" si="6"/>
        <v>80.557571571104972</v>
      </c>
      <c r="AE34" s="35">
        <f t="shared" si="6"/>
        <v>131.0659817256421</v>
      </c>
      <c r="AF34" s="35">
        <f t="shared" si="6"/>
        <v>178.63040799177199</v>
      </c>
      <c r="AG34" s="35">
        <f t="shared" si="6"/>
        <v>270.95145565324316</v>
      </c>
      <c r="AH34" s="35">
        <f t="shared" si="6"/>
        <v>92.996560307580765</v>
      </c>
      <c r="AI34" s="35">
        <f t="shared" si="6"/>
        <v>183.04731212469736</v>
      </c>
      <c r="AJ34" s="51">
        <f>'Data Descriptors 2'!$V34-'Data Descriptors 2'!$X34</f>
        <v>-0.11735404538295258</v>
      </c>
      <c r="AK34" s="51">
        <f>'Data Descriptors 2'!$V34-'Data Descriptors 2'!$Y34</f>
        <v>-9.7783570932291508E-2</v>
      </c>
    </row>
    <row r="35" spans="1:37">
      <c r="A35" s="32">
        <v>1942</v>
      </c>
      <c r="B35" s="33">
        <f>('[1]S&amp;P 500 &amp; Raw Data'!B18-'[1]S&amp;P 500 &amp; Raw Data'!B17+'[1]S&amp;P 500 &amp; Raw Data'!C18)/'[1]S&amp;P 500 &amp; Raw Data'!B17</f>
        <v>0.19173762945914843</v>
      </c>
      <c r="C35" s="33">
        <f>'[1]Small Cap'!B16</f>
        <v>0.6179</v>
      </c>
      <c r="D35" s="33">
        <f>'[1]T. Bill rates'!C20</f>
        <v>3.4250000000000001E-3</v>
      </c>
      <c r="E35" s="33">
        <f>'[1]S&amp;P 500 &amp; Raw Data'!F18</f>
        <v>2.2948682374484164E-2</v>
      </c>
      <c r="F35" s="33">
        <f>'[1]S&amp;P 500 &amp; Raw Data'!J18</f>
        <v>5.1799010426587015E-2</v>
      </c>
      <c r="G35" s="33">
        <f>'[1]Home Prices'!B18/'[1]Home Prices'!B17-1</f>
        <v>3.3330412175386348E-2</v>
      </c>
      <c r="H35" s="33">
        <f>'[1]Gold Prices'!B17/'[1]Gold Prices'!B16-1</f>
        <v>0</v>
      </c>
      <c r="I35" s="34">
        <f t="shared" si="5"/>
        <v>111.61416273305268</v>
      </c>
      <c r="J35" s="35">
        <f t="shared" si="5"/>
        <v>116.77332993699611</v>
      </c>
      <c r="K35" s="35">
        <f t="shared" si="5"/>
        <v>117.83126115531844</v>
      </c>
      <c r="L35" s="35">
        <f t="shared" si="5"/>
        <v>163.71740846371824</v>
      </c>
      <c r="M35" s="35">
        <f t="shared" si="5"/>
        <v>255.33471820663161</v>
      </c>
      <c r="N35" s="35">
        <f t="shared" si="5"/>
        <v>86.097733885856655</v>
      </c>
      <c r="O35" s="35">
        <f t="shared" si="5"/>
        <v>164.0019379844961</v>
      </c>
      <c r="P35" s="67">
        <f t="shared" si="0"/>
        <v>0.18831262945914842</v>
      </c>
      <c r="Q35" s="67">
        <f t="shared" si="1"/>
        <v>0.16878894708466427</v>
      </c>
      <c r="R35" s="68">
        <f>'Data Descriptors 2'!$C35-'Data Descriptors 2'!$B35</f>
        <v>0.4261623705408516</v>
      </c>
      <c r="S35" s="68">
        <f t="shared" si="2"/>
        <v>0.13993861903256141</v>
      </c>
      <c r="T35" s="32"/>
      <c r="U35" s="69">
        <f>'[1]Inflation Rate'!C40</f>
        <v>9.0322600000000003E-2</v>
      </c>
      <c r="V35" s="51">
        <f t="shared" si="3"/>
        <v>9.3013782764063135E-2</v>
      </c>
      <c r="W35" s="51">
        <f t="shared" si="3"/>
        <v>0.48387275472415259</v>
      </c>
      <c r="X35" s="51">
        <f t="shared" si="3"/>
        <v>-7.9698980833745825E-2</v>
      </c>
      <c r="Y35" s="51">
        <f t="shared" si="3"/>
        <v>-6.1792645246017797E-2</v>
      </c>
      <c r="Z35" s="51">
        <f t="shared" si="3"/>
        <v>-3.5332285667941665E-2</v>
      </c>
      <c r="AA35" s="51">
        <f t="shared" si="3"/>
        <v>-5.2270940568060809E-2</v>
      </c>
      <c r="AB35" s="51">
        <f t="shared" si="3"/>
        <v>-8.2840252967332773E-2</v>
      </c>
      <c r="AC35" s="34">
        <f t="shared" si="6"/>
        <v>114.25590841672354</v>
      </c>
      <c r="AD35" s="36">
        <f t="shared" si="6"/>
        <v>119.53718564110362</v>
      </c>
      <c r="AE35" s="35">
        <f t="shared" si="6"/>
        <v>120.62015656013408</v>
      </c>
      <c r="AF35" s="35">
        <f t="shared" si="6"/>
        <v>167.592362560585</v>
      </c>
      <c r="AG35" s="35">
        <f t="shared" si="6"/>
        <v>261.37812141995812</v>
      </c>
      <c r="AH35" s="35">
        <f t="shared" si="6"/>
        <v>88.135542630709125</v>
      </c>
      <c r="AI35" s="35">
        <f t="shared" si="6"/>
        <v>167.88362648329712</v>
      </c>
      <c r="AJ35" s="51">
        <f>'Data Descriptors 2'!$V35-'Data Descriptors 2'!$X35</f>
        <v>0.17271276359780896</v>
      </c>
      <c r="AK35" s="51">
        <f>'Data Descriptors 2'!$V35-'Data Descriptors 2'!$Y35</f>
        <v>0.15480642801008093</v>
      </c>
    </row>
    <row r="36" spans="1:37">
      <c r="A36" s="32">
        <v>1943</v>
      </c>
      <c r="B36" s="33">
        <f>('[1]S&amp;P 500 &amp; Raw Data'!B19-'[1]S&amp;P 500 &amp; Raw Data'!B18+'[1]S&amp;P 500 &amp; Raw Data'!C19)/'[1]S&amp;P 500 &amp; Raw Data'!B18</f>
        <v>0.25061310133060394</v>
      </c>
      <c r="C36" s="33">
        <f>'[1]Small Cap'!B17</f>
        <v>1.3796999999999999</v>
      </c>
      <c r="D36" s="33">
        <f>'[1]T. Bill rates'!C21</f>
        <v>3.8E-3</v>
      </c>
      <c r="E36" s="33">
        <f>'[1]S&amp;P 500 &amp; Raw Data'!F19</f>
        <v>2.4899999999999999E-2</v>
      </c>
      <c r="F36" s="33">
        <f>'[1]S&amp;P 500 &amp; Raw Data'!J19</f>
        <v>8.044670060105924E-2</v>
      </c>
      <c r="G36" s="33">
        <f>'[1]Home Prices'!B19/'[1]Home Prices'!B18-1</f>
        <v>0.11446259964945993</v>
      </c>
      <c r="H36" s="33">
        <f>'[1]Gold Prices'!B18/'[1]Gold Prices'!B17-1</f>
        <v>0</v>
      </c>
      <c r="I36" s="34">
        <f t="shared" si="5"/>
        <v>139.58613420800171</v>
      </c>
      <c r="J36" s="35">
        <f t="shared" si="5"/>
        <v>277.88549325106959</v>
      </c>
      <c r="K36" s="35">
        <f t="shared" si="5"/>
        <v>118.27901994770866</v>
      </c>
      <c r="L36" s="35">
        <f t="shared" si="5"/>
        <v>167.79397193446482</v>
      </c>
      <c r="M36" s="35">
        <f t="shared" si="5"/>
        <v>275.87555383525631</v>
      </c>
      <c r="N36" s="35">
        <f t="shared" si="5"/>
        <v>95.952704330359211</v>
      </c>
      <c r="O36" s="35">
        <f t="shared" si="5"/>
        <v>164.0019379844961</v>
      </c>
      <c r="P36" s="67">
        <f t="shared" si="0"/>
        <v>0.24681310133060394</v>
      </c>
      <c r="Q36" s="67">
        <f t="shared" si="1"/>
        <v>0.22571310133060393</v>
      </c>
      <c r="R36" s="68">
        <f>'Data Descriptors 2'!$C36-'Data Descriptors 2'!$B36</f>
        <v>1.129086898669396</v>
      </c>
      <c r="S36" s="68">
        <f t="shared" si="2"/>
        <v>0.1701664007295447</v>
      </c>
      <c r="T36" s="32"/>
      <c r="U36" s="69">
        <f>'[1]Inflation Rate'!C41</f>
        <v>2.9585799999999999E-2</v>
      </c>
      <c r="V36" s="51">
        <f t="shared" si="3"/>
        <v>0.21467594185021199</v>
      </c>
      <c r="W36" s="51">
        <f t="shared" si="3"/>
        <v>1.3113178134352665</v>
      </c>
      <c r="X36" s="51">
        <f t="shared" si="3"/>
        <v>-2.504482870684499E-2</v>
      </c>
      <c r="Y36" s="51">
        <f t="shared" si="3"/>
        <v>-4.5511505694815213E-3</v>
      </c>
      <c r="Z36" s="51">
        <f t="shared" si="3"/>
        <v>4.9399380412064042E-2</v>
      </c>
      <c r="AA36" s="51">
        <f t="shared" si="3"/>
        <v>8.2437811059029587E-2</v>
      </c>
      <c r="AB36" s="51">
        <f t="shared" si="3"/>
        <v>-2.873563330030382E-2</v>
      </c>
      <c r="AC36" s="34">
        <f t="shared" si="6"/>
        <v>138.78390316803524</v>
      </c>
      <c r="AD36" s="36">
        <f t="shared" si="6"/>
        <v>276.28842654020116</v>
      </c>
      <c r="AE36" s="35">
        <f t="shared" si="6"/>
        <v>117.59924540049269</v>
      </c>
      <c r="AF36" s="35">
        <f t="shared" si="6"/>
        <v>166.82962448427665</v>
      </c>
      <c r="AG36" s="35">
        <f t="shared" si="6"/>
        <v>274.29003867137328</v>
      </c>
      <c r="AH36" s="35">
        <f t="shared" si="6"/>
        <v>95.401243841684575</v>
      </c>
      <c r="AI36" s="35">
        <f t="shared" si="6"/>
        <v>163.05938415554792</v>
      </c>
      <c r="AJ36" s="51">
        <f>'Data Descriptors 2'!$V36-'Data Descriptors 2'!$X36</f>
        <v>0.23972077055705698</v>
      </c>
      <c r="AK36" s="51">
        <f>'Data Descriptors 2'!$V36-'Data Descriptors 2'!$Y36</f>
        <v>0.21922709241969351</v>
      </c>
    </row>
    <row r="37" spans="1:37">
      <c r="A37" s="32">
        <v>1944</v>
      </c>
      <c r="B37" s="33">
        <f>('[1]S&amp;P 500 &amp; Raw Data'!B20-'[1]S&amp;P 500 &amp; Raw Data'!B19+'[1]S&amp;P 500 &amp; Raw Data'!C20)/'[1]S&amp;P 500 &amp; Raw Data'!B19</f>
        <v>0.19030676949443009</v>
      </c>
      <c r="C37" s="33">
        <f>'[1]Small Cap'!B18</f>
        <v>0.69730000000000003</v>
      </c>
      <c r="D37" s="33">
        <f>'[1]T. Bill rates'!C22</f>
        <v>3.8E-3</v>
      </c>
      <c r="E37" s="33">
        <f>'[1]S&amp;P 500 &amp; Raw Data'!F20</f>
        <v>2.5776111579070303E-2</v>
      </c>
      <c r="F37" s="33">
        <f>'[1]S&amp;P 500 &amp; Raw Data'!J20</f>
        <v>6.5658635882561697E-2</v>
      </c>
      <c r="G37" s="33">
        <f>'[1]Home Prices'!B20/'[1]Home Prices'!B19-1</f>
        <v>0.16584227481419478</v>
      </c>
      <c r="H37" s="33">
        <f>'[1]Gold Prices'!B19/'[1]Gold Prices'!B18-1</f>
        <v>0</v>
      </c>
      <c r="I37" s="34">
        <f t="shared" si="5"/>
        <v>166.15032047534245</v>
      </c>
      <c r="J37" s="35">
        <f t="shared" si="5"/>
        <v>471.65504769504042</v>
      </c>
      <c r="K37" s="35">
        <f t="shared" si="5"/>
        <v>118.72848022350996</v>
      </c>
      <c r="L37" s="35">
        <f t="shared" si="5"/>
        <v>172.11904807734297</v>
      </c>
      <c r="M37" s="35">
        <f t="shared" si="5"/>
        <v>293.98916637342546</v>
      </c>
      <c r="N37" s="35">
        <f t="shared" si="5"/>
        <v>111.86571909107982</v>
      </c>
      <c r="O37" s="35">
        <f t="shared" si="5"/>
        <v>164.0019379844961</v>
      </c>
      <c r="P37" s="67">
        <f t="shared" si="0"/>
        <v>0.1865067694944301</v>
      </c>
      <c r="Q37" s="67">
        <f t="shared" si="1"/>
        <v>0.16453065791535978</v>
      </c>
      <c r="R37" s="68">
        <f>'Data Descriptors 2'!$C37-'Data Descriptors 2'!$B37</f>
        <v>0.50699323050556999</v>
      </c>
      <c r="S37" s="68">
        <f t="shared" si="2"/>
        <v>0.1246481336118684</v>
      </c>
      <c r="T37" s="32"/>
      <c r="U37" s="69">
        <f>'[1]Inflation Rate'!C42</f>
        <v>2.2988499999999999E-2</v>
      </c>
      <c r="V37" s="51">
        <f t="shared" si="3"/>
        <v>0.16355830930106241</v>
      </c>
      <c r="W37" s="51">
        <f t="shared" si="3"/>
        <v>0.65915843628740678</v>
      </c>
      <c r="X37" s="51">
        <f t="shared" si="3"/>
        <v>-1.8757297858187139E-2</v>
      </c>
      <c r="Y37" s="51">
        <f t="shared" si="3"/>
        <v>2.7249686375458992E-3</v>
      </c>
      <c r="Z37" s="51">
        <f t="shared" si="3"/>
        <v>4.171125665885933E-2</v>
      </c>
      <c r="AA37" s="51">
        <f t="shared" si="3"/>
        <v>0.13964357841187325</v>
      </c>
      <c r="AB37" s="51">
        <f t="shared" si="3"/>
        <v>-2.2471904620628758E-2</v>
      </c>
      <c r="AC37" s="34">
        <f t="shared" si="6"/>
        <v>161.48316372840145</v>
      </c>
      <c r="AD37" s="36">
        <f t="shared" si="6"/>
        <v>458.40627374274823</v>
      </c>
      <c r="AE37" s="35">
        <f t="shared" si="6"/>
        <v>115.39340132661761</v>
      </c>
      <c r="AF37" s="35">
        <f t="shared" si="6"/>
        <v>167.28422997880986</v>
      </c>
      <c r="AG37" s="35">
        <f t="shared" si="6"/>
        <v>285.73102087336338</v>
      </c>
      <c r="AH37" s="35">
        <f t="shared" si="6"/>
        <v>108.72341491668109</v>
      </c>
      <c r="AI37" s="35">
        <f t="shared" si="6"/>
        <v>159.39512922730597</v>
      </c>
      <c r="AJ37" s="51">
        <f>'Data Descriptors 2'!$V37-'Data Descriptors 2'!$X37</f>
        <v>0.18231560715924955</v>
      </c>
      <c r="AK37" s="51">
        <f>'Data Descriptors 2'!$V37-'Data Descriptors 2'!$Y37</f>
        <v>0.16083334066351651</v>
      </c>
    </row>
    <row r="38" spans="1:37">
      <c r="A38" s="32">
        <v>1945</v>
      </c>
      <c r="B38" s="33">
        <f>('[1]S&amp;P 500 &amp; Raw Data'!B21-'[1]S&amp;P 500 &amp; Raw Data'!B20+'[1]S&amp;P 500 &amp; Raw Data'!C21)/'[1]S&amp;P 500 &amp; Raw Data'!B20</f>
        <v>0.35821084337349401</v>
      </c>
      <c r="C38" s="33">
        <f>'[1]Small Cap'!B19</f>
        <v>0.91090000000000004</v>
      </c>
      <c r="D38" s="33">
        <f>'[1]T. Bill rates'!C23</f>
        <v>3.8E-3</v>
      </c>
      <c r="E38" s="33">
        <f>'[1]S&amp;P 500 &amp; Raw Data'!F21</f>
        <v>3.8044173419237229E-2</v>
      </c>
      <c r="F38" s="33">
        <f>'[1]S&amp;P 500 &amp; Raw Data'!J21</f>
        <v>6.799865477817886E-2</v>
      </c>
      <c r="G38" s="33">
        <f>'[1]Home Prices'!B21/'[1]Home Prices'!B20-1</f>
        <v>0.11777376471356127</v>
      </c>
      <c r="H38" s="33">
        <f>'[1]Gold Prices'!B20/'[1]Gold Prices'!B19-1</f>
        <v>2.5406203840472763E-2</v>
      </c>
      <c r="I38" s="34">
        <f t="shared" ref="I38:O53" si="7">I37*(1+B38)</f>
        <v>225.66716689959119</v>
      </c>
      <c r="J38" s="35">
        <f t="shared" si="7"/>
        <v>901.28563064045272</v>
      </c>
      <c r="K38" s="35">
        <f t="shared" si="7"/>
        <v>119.1796484483593</v>
      </c>
      <c r="L38" s="35">
        <f t="shared" si="7"/>
        <v>178.66717499115143</v>
      </c>
      <c r="M38" s="35">
        <f t="shared" si="7"/>
        <v>313.98003420617658</v>
      </c>
      <c r="N38" s="35">
        <f t="shared" si="7"/>
        <v>125.04056597082599</v>
      </c>
      <c r="O38" s="35">
        <f t="shared" si="7"/>
        <v>168.16860465116278</v>
      </c>
      <c r="P38" s="67">
        <f t="shared" si="0"/>
        <v>0.35441084337349399</v>
      </c>
      <c r="Q38" s="67">
        <f t="shared" si="1"/>
        <v>0.3201666699542568</v>
      </c>
      <c r="R38" s="68">
        <f>'Data Descriptors 2'!$C38-'Data Descriptors 2'!$B38</f>
        <v>0.55268915662650597</v>
      </c>
      <c r="S38" s="68">
        <f t="shared" si="2"/>
        <v>0.29021218859531517</v>
      </c>
      <c r="T38" s="32"/>
      <c r="U38" s="69">
        <f>'[1]Inflation Rate'!C43</f>
        <v>2.24719E-2</v>
      </c>
      <c r="V38" s="51">
        <f t="shared" si="3"/>
        <v>0.32836006874467061</v>
      </c>
      <c r="W38" s="51">
        <f t="shared" si="3"/>
        <v>0.86890221628584619</v>
      </c>
      <c r="X38" s="51">
        <f t="shared" si="3"/>
        <v>-1.8261528752037015E-2</v>
      </c>
      <c r="Y38" s="51">
        <f t="shared" si="3"/>
        <v>1.5230025802408065E-2</v>
      </c>
      <c r="Z38" s="51">
        <f t="shared" si="3"/>
        <v>4.4526167201444755E-2</v>
      </c>
      <c r="AA38" s="51">
        <f t="shared" si="3"/>
        <v>9.320731915817082E-2</v>
      </c>
      <c r="AB38" s="51">
        <f t="shared" si="3"/>
        <v>2.8698136745595182E-3</v>
      </c>
      <c r="AC38" s="34">
        <f t="shared" ref="AC38:AI53" si="8">AC37*(1+V38)</f>
        <v>214.50778647136624</v>
      </c>
      <c r="AD38" s="36">
        <f t="shared" si="8"/>
        <v>856.71650095715847</v>
      </c>
      <c r="AE38" s="35">
        <f t="shared" si="8"/>
        <v>113.28614141049623</v>
      </c>
      <c r="AF38" s="35">
        <f t="shared" si="8"/>
        <v>169.83197311772309</v>
      </c>
      <c r="AG38" s="35">
        <f t="shared" si="8"/>
        <v>298.45352808341028</v>
      </c>
      <c r="AH38" s="35">
        <f t="shared" si="8"/>
        <v>118.85723295078643</v>
      </c>
      <c r="AI38" s="35">
        <f t="shared" si="8"/>
        <v>159.85256354882068</v>
      </c>
      <c r="AJ38" s="51">
        <f>'Data Descriptors 2'!$V38-'Data Descriptors 2'!$X38</f>
        <v>0.34662159749670762</v>
      </c>
      <c r="AK38" s="51">
        <f>'Data Descriptors 2'!$V38-'Data Descriptors 2'!$Y38</f>
        <v>0.31313004294226254</v>
      </c>
    </row>
    <row r="39" spans="1:37">
      <c r="A39" s="32">
        <v>1946</v>
      </c>
      <c r="B39" s="33">
        <f>('[1]S&amp;P 500 &amp; Raw Data'!B22-'[1]S&amp;P 500 &amp; Raw Data'!B21+'[1]S&amp;P 500 &amp; Raw Data'!C22)/'[1]S&amp;P 500 &amp; Raw Data'!B21</f>
        <v>-8.4291474654377807E-2</v>
      </c>
      <c r="C39" s="33">
        <f>'[1]Small Cap'!B20</f>
        <v>-0.1532</v>
      </c>
      <c r="D39" s="33">
        <f>'[1]T. Bill rates'!C24</f>
        <v>3.8E-3</v>
      </c>
      <c r="E39" s="33">
        <f>'[1]S&amp;P 500 &amp; Raw Data'!F22</f>
        <v>3.1283745375695685E-2</v>
      </c>
      <c r="F39" s="33">
        <f>'[1]S&amp;P 500 &amp; Raw Data'!J22</f>
        <v>2.5080329773195936E-2</v>
      </c>
      <c r="G39" s="33">
        <f>'[1]Home Prices'!B22/'[1]Home Prices'!B21-1</f>
        <v>0.24101685677580131</v>
      </c>
      <c r="H39" s="33">
        <f>'[1]Gold Prices'!B21/'[1]Gold Prices'!B20-1</f>
        <v>0</v>
      </c>
      <c r="I39" s="34">
        <f t="shared" si="7"/>
        <v>206.64534862054904</v>
      </c>
      <c r="J39" s="35">
        <f t="shared" si="7"/>
        <v>763.20867202633531</v>
      </c>
      <c r="K39" s="35">
        <f t="shared" si="7"/>
        <v>119.63253111246307</v>
      </c>
      <c r="L39" s="35">
        <f t="shared" si="7"/>
        <v>184.25655340056949</v>
      </c>
      <c r="M39" s="35">
        <f t="shared" si="7"/>
        <v>321.85475700626682</v>
      </c>
      <c r="N39" s="35">
        <f t="shared" si="7"/>
        <v>155.17745015058171</v>
      </c>
      <c r="O39" s="35">
        <f t="shared" si="7"/>
        <v>168.16860465116278</v>
      </c>
      <c r="P39" s="67">
        <f t="shared" si="0"/>
        <v>-8.8091474654377805E-2</v>
      </c>
      <c r="Q39" s="67">
        <f t="shared" si="1"/>
        <v>-0.11557522003007349</v>
      </c>
      <c r="R39" s="68">
        <f>'Data Descriptors 2'!$C39-'Data Descriptors 2'!$B39</f>
        <v>-6.8908525345622196E-2</v>
      </c>
      <c r="S39" s="68">
        <f t="shared" si="2"/>
        <v>-0.10937180442757374</v>
      </c>
      <c r="T39" s="32"/>
      <c r="U39" s="69">
        <f>'[1]Inflation Rate'!C44</f>
        <v>0.1813187</v>
      </c>
      <c r="V39" s="51">
        <f t="shared" si="3"/>
        <v>-0.22484209777969133</v>
      </c>
      <c r="W39" s="51">
        <f t="shared" si="3"/>
        <v>-0.28317396482422574</v>
      </c>
      <c r="X39" s="51">
        <f t="shared" si="3"/>
        <v>-0.15027164134454152</v>
      </c>
      <c r="Y39" s="51">
        <f t="shared" si="3"/>
        <v>-0.12700633167349695</v>
      </c>
      <c r="Z39" s="51">
        <f t="shared" si="3"/>
        <v>-0.13225759503070944</v>
      </c>
      <c r="AA39" s="51">
        <f t="shared" si="3"/>
        <v>5.0535183076168444E-2</v>
      </c>
      <c r="AB39" s="51">
        <f t="shared" si="3"/>
        <v>-0.15348838547971855</v>
      </c>
      <c r="AC39" s="34">
        <f t="shared" si="8"/>
        <v>166.27740577106616</v>
      </c>
      <c r="AD39" s="36">
        <f t="shared" si="8"/>
        <v>614.11669265078228</v>
      </c>
      <c r="AE39" s="35">
        <f t="shared" si="8"/>
        <v>96.262446999151123</v>
      </c>
      <c r="AF39" s="35">
        <f t="shared" si="8"/>
        <v>148.26223721116915</v>
      </c>
      <c r="AG39" s="35">
        <f t="shared" si="8"/>
        <v>258.98078223066813</v>
      </c>
      <c r="AH39" s="35">
        <f t="shared" si="8"/>
        <v>124.86370497788121</v>
      </c>
      <c r="AI39" s="35">
        <f t="shared" si="8"/>
        <v>135.31705165491809</v>
      </c>
      <c r="AJ39" s="51">
        <f>'Data Descriptors 2'!$V39-'Data Descriptors 2'!$X39</f>
        <v>-7.4570456435149812E-2</v>
      </c>
      <c r="AK39" s="51">
        <f>'Data Descriptors 2'!$V39-'Data Descriptors 2'!$Y39</f>
        <v>-9.7835766106194377E-2</v>
      </c>
    </row>
    <row r="40" spans="1:37">
      <c r="A40" s="32">
        <v>1947</v>
      </c>
      <c r="B40" s="33">
        <f>('[1]S&amp;P 500 &amp; Raw Data'!B23-'[1]S&amp;P 500 &amp; Raw Data'!B22+'[1]S&amp;P 500 &amp; Raw Data'!C23)/'[1]S&amp;P 500 &amp; Raw Data'!B22</f>
        <v>5.1999999999999998E-2</v>
      </c>
      <c r="C40" s="33">
        <f>'[1]Small Cap'!B21</f>
        <v>-9.5999999999999992E-3</v>
      </c>
      <c r="D40" s="33">
        <f>'[1]T. Bill rates'!C25</f>
        <v>6.0083333333333334E-3</v>
      </c>
      <c r="E40" s="33">
        <f>'[1]S&amp;P 500 &amp; Raw Data'!F23</f>
        <v>9.1969680628322358E-3</v>
      </c>
      <c r="F40" s="33">
        <f>'[1]S&amp;P 500 &amp; Raw Data'!J23</f>
        <v>2.6212022665691934E-3</v>
      </c>
      <c r="G40" s="33">
        <f>'[1]Home Prices'!B23/'[1]Home Prices'!B22-1</f>
        <v>0.2126388104648973</v>
      </c>
      <c r="H40" s="33">
        <f>'[1]Gold Prices'!B22/'[1]Gold Prices'!B21-1</f>
        <v>0</v>
      </c>
      <c r="I40" s="34">
        <f t="shared" si="7"/>
        <v>217.3909067488176</v>
      </c>
      <c r="J40" s="35">
        <f t="shared" si="7"/>
        <v>755.88186877488249</v>
      </c>
      <c r="K40" s="35">
        <f t="shared" si="7"/>
        <v>120.35132323689713</v>
      </c>
      <c r="L40" s="35">
        <f t="shared" si="7"/>
        <v>185.95115503756207</v>
      </c>
      <c r="M40" s="35">
        <f t="shared" si="7"/>
        <v>322.69840342483775</v>
      </c>
      <c r="N40" s="35">
        <f t="shared" si="7"/>
        <v>188.1741985615773</v>
      </c>
      <c r="O40" s="35">
        <f t="shared" si="7"/>
        <v>168.16860465116278</v>
      </c>
      <c r="P40" s="67">
        <f t="shared" si="0"/>
        <v>4.5991666666666667E-2</v>
      </c>
      <c r="Q40" s="67">
        <f t="shared" si="1"/>
        <v>4.2803031937167765E-2</v>
      </c>
      <c r="R40" s="68">
        <f>'Data Descriptors 2'!$C40-'Data Descriptors 2'!$B40</f>
        <v>-6.1599999999999995E-2</v>
      </c>
      <c r="S40" s="68">
        <f t="shared" si="2"/>
        <v>4.9378797733430804E-2</v>
      </c>
      <c r="T40" s="32"/>
      <c r="U40" s="69">
        <f>'[1]Inflation Rate'!C45</f>
        <v>8.8372100000000009E-2</v>
      </c>
      <c r="V40" s="51">
        <f t="shared" si="3"/>
        <v>-3.3418809614836564E-2</v>
      </c>
      <c r="W40" s="51">
        <f t="shared" si="3"/>
        <v>-9.0017099850317694E-2</v>
      </c>
      <c r="X40" s="51">
        <f t="shared" si="3"/>
        <v>-7.5676109913757061E-2</v>
      </c>
      <c r="Y40" s="51">
        <f t="shared" si="3"/>
        <v>-7.2746381441758379E-2</v>
      </c>
      <c r="Z40" s="51">
        <f t="shared" si="3"/>
        <v>-7.8788217497885782E-2</v>
      </c>
      <c r="AA40" s="51">
        <f t="shared" si="3"/>
        <v>0.11417667768670059</v>
      </c>
      <c r="AB40" s="51">
        <f t="shared" si="3"/>
        <v>-8.1196587086346583E-2</v>
      </c>
      <c r="AC40" s="34">
        <f t="shared" si="8"/>
        <v>160.72061280435398</v>
      </c>
      <c r="AD40" s="36">
        <f t="shared" si="8"/>
        <v>558.83568900869</v>
      </c>
      <c r="AE40" s="35">
        <f t="shared" si="8"/>
        <v>88.977679479476151</v>
      </c>
      <c r="AF40" s="35">
        <f t="shared" si="8"/>
        <v>137.47669594959697</v>
      </c>
      <c r="AG40" s="35">
        <f t="shared" si="8"/>
        <v>238.57614803250564</v>
      </c>
      <c r="AH40" s="35">
        <f t="shared" si="8"/>
        <v>139.12022797590802</v>
      </c>
      <c r="AI40" s="35">
        <f t="shared" si="8"/>
        <v>124.32976888595188</v>
      </c>
      <c r="AJ40" s="51">
        <f>'Data Descriptors 2'!$V40-'Data Descriptors 2'!$X40</f>
        <v>4.2257300298920497E-2</v>
      </c>
      <c r="AK40" s="51">
        <f>'Data Descriptors 2'!$V40-'Data Descriptors 2'!$Y40</f>
        <v>3.9327571826921814E-2</v>
      </c>
    </row>
    <row r="41" spans="1:37">
      <c r="A41" s="32">
        <v>1948</v>
      </c>
      <c r="B41" s="33">
        <f>('[1]S&amp;P 500 &amp; Raw Data'!B24-'[1]S&amp;P 500 &amp; Raw Data'!B23+'[1]S&amp;P 500 &amp; Raw Data'!C24)/'[1]S&amp;P 500 &amp; Raw Data'!B23</f>
        <v>5.7045751633986834E-2</v>
      </c>
      <c r="C41" s="33">
        <f>'[1]Small Cap'!B22</f>
        <v>-7.0999999999999995E-3</v>
      </c>
      <c r="D41" s="33">
        <f>'[1]T. Bill rates'!C26</f>
        <v>1.0449999999999999E-2</v>
      </c>
      <c r="E41" s="33">
        <f>'[1]S&amp;P 500 &amp; Raw Data'!F24</f>
        <v>1.9510369413175046E-2</v>
      </c>
      <c r="F41" s="33">
        <f>'[1]S&amp;P 500 &amp; Raw Data'!J24</f>
        <v>3.4369595605103213E-2</v>
      </c>
      <c r="G41" s="33">
        <f>'[1]Home Prices'!B24/'[1]Home Prices'!B23-1</f>
        <v>2.0585153855108507E-2</v>
      </c>
      <c r="H41" s="33">
        <f>'[1]Gold Prices'!B23/'[1]Gold Prices'!B22-1</f>
        <v>0</v>
      </c>
      <c r="I41" s="34">
        <f t="shared" si="7"/>
        <v>229.79213442269784</v>
      </c>
      <c r="J41" s="35">
        <f t="shared" si="7"/>
        <v>750.51510750658088</v>
      </c>
      <c r="K41" s="35">
        <f t="shared" si="7"/>
        <v>121.60899456472271</v>
      </c>
      <c r="L41" s="35">
        <f t="shared" si="7"/>
        <v>189.57913076515149</v>
      </c>
      <c r="M41" s="35">
        <f t="shared" si="7"/>
        <v>333.78941705296182</v>
      </c>
      <c r="N41" s="35">
        <f t="shared" si="7"/>
        <v>192.04779339052911</v>
      </c>
      <c r="O41" s="35">
        <f t="shared" si="7"/>
        <v>168.16860465116278</v>
      </c>
      <c r="P41" s="67">
        <f t="shared" si="0"/>
        <v>4.6595751633986833E-2</v>
      </c>
      <c r="Q41" s="67">
        <f t="shared" si="1"/>
        <v>3.7535382220811792E-2</v>
      </c>
      <c r="R41" s="68">
        <f>'Data Descriptors 2'!$C41-'Data Descriptors 2'!$B41</f>
        <v>-6.4145751633986836E-2</v>
      </c>
      <c r="S41" s="68">
        <f t="shared" si="2"/>
        <v>2.2676156028883621E-2</v>
      </c>
      <c r="T41" s="32"/>
      <c r="U41" s="69">
        <f>'[1]Inflation Rate'!C46</f>
        <v>2.99145E-2</v>
      </c>
      <c r="V41" s="51">
        <f t="shared" si="3"/>
        <v>2.6343207745872954E-2</v>
      </c>
      <c r="W41" s="51">
        <f t="shared" si="3"/>
        <v>-3.5939391085376582E-2</v>
      </c>
      <c r="X41" s="51">
        <f t="shared" si="3"/>
        <v>-1.889914162777584E-2</v>
      </c>
      <c r="Y41" s="51">
        <f t="shared" si="3"/>
        <v>-1.0101936215894614E-2</v>
      </c>
      <c r="Z41" s="51">
        <f t="shared" si="3"/>
        <v>4.3256946135850072E-3</v>
      </c>
      <c r="AA41" s="51">
        <f t="shared" si="3"/>
        <v>-9.0583695490175087E-3</v>
      </c>
      <c r="AB41" s="51">
        <f t="shared" si="3"/>
        <v>-2.9045614951532461E-2</v>
      </c>
      <c r="AC41" s="34">
        <f t="shared" si="8"/>
        <v>164.95450929650309</v>
      </c>
      <c r="AD41" s="36">
        <f t="shared" si="8"/>
        <v>538.75147462894085</v>
      </c>
      <c r="AE41" s="35">
        <f t="shared" si="8"/>
        <v>87.296077713282685</v>
      </c>
      <c r="AF41" s="35">
        <f t="shared" si="8"/>
        <v>136.08791513594221</v>
      </c>
      <c r="AG41" s="35">
        <f t="shared" si="8"/>
        <v>239.60815559097972</v>
      </c>
      <c r="AH41" s="35">
        <f t="shared" si="8"/>
        <v>137.86002553915867</v>
      </c>
      <c r="AI41" s="35">
        <f t="shared" si="8"/>
        <v>120.7185342918775</v>
      </c>
      <c r="AJ41" s="51">
        <f>'Data Descriptors 2'!$V41-'Data Descriptors 2'!$X41</f>
        <v>4.5242349373648794E-2</v>
      </c>
      <c r="AK41" s="51">
        <f>'Data Descriptors 2'!$V41-'Data Descriptors 2'!$Y41</f>
        <v>3.6445143961767568E-2</v>
      </c>
    </row>
    <row r="42" spans="1:37">
      <c r="A42" s="32">
        <v>1949</v>
      </c>
      <c r="B42" s="33">
        <f>('[1]S&amp;P 500 &amp; Raw Data'!B25-'[1]S&amp;P 500 &amp; Raw Data'!B24+'[1]S&amp;P 500 &amp; Raw Data'!C25)/'[1]S&amp;P 500 &amp; Raw Data'!B24</f>
        <v>0.18303223684210526</v>
      </c>
      <c r="C42" s="33">
        <f>'[1]Small Cap'!B23</f>
        <v>0.2722</v>
      </c>
      <c r="D42" s="33">
        <f>'[1]T. Bill rates'!C27</f>
        <v>1.115E-2</v>
      </c>
      <c r="E42" s="33">
        <f>'[1]S&amp;P 500 &amp; Raw Data'!F25</f>
        <v>4.6634851827973139E-2</v>
      </c>
      <c r="F42" s="33">
        <f>'[1]S&amp;P 500 &amp; Raw Data'!J25</f>
        <v>5.3773011179658936E-2</v>
      </c>
      <c r="G42" s="33">
        <f>'[1]Home Prices'!B25/'[1]Home Prices'!B24-1</f>
        <v>8.9348516244314169E-4</v>
      </c>
      <c r="H42" s="33">
        <f>'[1]Gold Prices'!B24/'[1]Gold Prices'!B23-1</f>
        <v>-8.7006626332469028E-2</v>
      </c>
      <c r="I42" s="34">
        <f t="shared" si="7"/>
        <v>271.85150279480598</v>
      </c>
      <c r="J42" s="35">
        <f t="shared" si="7"/>
        <v>954.8053197698722</v>
      </c>
      <c r="K42" s="35">
        <f t="shared" si="7"/>
        <v>122.96493485411936</v>
      </c>
      <c r="L42" s="35">
        <f t="shared" si="7"/>
        <v>198.42012543806027</v>
      </c>
      <c r="M42" s="35">
        <f t="shared" si="7"/>
        <v>351.73827910780261</v>
      </c>
      <c r="N42" s="35">
        <f t="shared" si="7"/>
        <v>192.2193852444035</v>
      </c>
      <c r="O42" s="35">
        <f t="shared" si="7"/>
        <v>153.53682170542635</v>
      </c>
      <c r="P42" s="67">
        <f t="shared" si="0"/>
        <v>0.17188223684210527</v>
      </c>
      <c r="Q42" s="67">
        <f t="shared" si="1"/>
        <v>0.13639738501413212</v>
      </c>
      <c r="R42" s="68">
        <f>'Data Descriptors 2'!$C42-'Data Descriptors 2'!$B42</f>
        <v>8.9167763157894736E-2</v>
      </c>
      <c r="S42" s="68">
        <f t="shared" si="2"/>
        <v>0.12925922566244633</v>
      </c>
      <c r="T42" s="32"/>
      <c r="U42" s="69">
        <f>'[1]Inflation Rate'!C47</f>
        <v>-2.0746899999999999E-2</v>
      </c>
      <c r="V42" s="51">
        <f t="shared" si="3"/>
        <v>0.20809649399333563</v>
      </c>
      <c r="W42" s="51">
        <f t="shared" si="3"/>
        <v>0.29915340579468164</v>
      </c>
      <c r="X42" s="51">
        <f t="shared" si="3"/>
        <v>3.2572682179918599E-2</v>
      </c>
      <c r="Y42" s="51">
        <f t="shared" si="3"/>
        <v>6.8809332161392289E-2</v>
      </c>
      <c r="Z42" s="51">
        <f t="shared" si="3"/>
        <v>7.6098723792305645E-2</v>
      </c>
      <c r="AA42" s="51">
        <f t="shared" si="3"/>
        <v>2.209886817048945E-2</v>
      </c>
      <c r="AB42" s="51">
        <f t="shared" si="3"/>
        <v>-6.7663534925208824E-2</v>
      </c>
      <c r="AC42" s="34">
        <f t="shared" si="8"/>
        <v>199.28096434949649</v>
      </c>
      <c r="AD42" s="36">
        <f t="shared" si="8"/>
        <v>699.92081314109555</v>
      </c>
      <c r="AE42" s="35">
        <f t="shared" si="8"/>
        <v>90.139545108190916</v>
      </c>
      <c r="AF42" s="35">
        <f t="shared" si="8"/>
        <v>145.45203369168263</v>
      </c>
      <c r="AG42" s="35">
        <f t="shared" si="8"/>
        <v>257.84203044168146</v>
      </c>
      <c r="AH42" s="35">
        <f t="shared" si="8"/>
        <v>140.90657606952885</v>
      </c>
      <c r="AI42" s="35">
        <f t="shared" si="8"/>
        <v>112.55029153069903</v>
      </c>
      <c r="AJ42" s="51">
        <f>'Data Descriptors 2'!$V42-'Data Descriptors 2'!$X42</f>
        <v>0.17552381181341703</v>
      </c>
      <c r="AK42" s="51">
        <f>'Data Descriptors 2'!$V42-'Data Descriptors 2'!$Y42</f>
        <v>0.13928716183194334</v>
      </c>
    </row>
    <row r="43" spans="1:37">
      <c r="A43" s="32">
        <v>1950</v>
      </c>
      <c r="B43" s="33">
        <f>('[1]S&amp;P 500 &amp; Raw Data'!B26-'[1]S&amp;P 500 &amp; Raw Data'!B25+'[1]S&amp;P 500 &amp; Raw Data'!C26)/'[1]S&amp;P 500 &amp; Raw Data'!B25</f>
        <v>0.30805539011316263</v>
      </c>
      <c r="C43" s="33">
        <f>'[1]Small Cap'!B24</f>
        <v>0.52780000000000005</v>
      </c>
      <c r="D43" s="33">
        <f>'[1]T. Bill rates'!C28</f>
        <v>1.2033333333333333E-2</v>
      </c>
      <c r="E43" s="33">
        <f>'[1]S&amp;P 500 &amp; Raw Data'!F26</f>
        <v>4.2959574171096103E-3</v>
      </c>
      <c r="F43" s="33">
        <f>'[1]S&amp;P 500 &amp; Raw Data'!J26</f>
        <v>4.2388173056720914E-2</v>
      </c>
      <c r="G43" s="33">
        <f>'[1]Home Prices'!B26/'[1]Home Prices'!B25-1</f>
        <v>3.6403925292814332E-2</v>
      </c>
      <c r="H43" s="33">
        <f>'[1]Gold Prices'!B25/'[1]Gold Prices'!B24-1</f>
        <v>9.5613758283370043E-2</v>
      </c>
      <c r="I43" s="34">
        <f t="shared" si="7"/>
        <v>355.59682354110947</v>
      </c>
      <c r="J43" s="35">
        <f t="shared" si="7"/>
        <v>1458.7515675444108</v>
      </c>
      <c r="K43" s="35">
        <f t="shared" si="7"/>
        <v>124.4446129035306</v>
      </c>
      <c r="L43" s="35">
        <f t="shared" si="7"/>
        <v>199.2725298476397</v>
      </c>
      <c r="M43" s="35">
        <f t="shared" si="7"/>
        <v>366.64782215329734</v>
      </c>
      <c r="N43" s="35">
        <f t="shared" si="7"/>
        <v>199.21692538467147</v>
      </c>
      <c r="O43" s="35">
        <f t="shared" si="7"/>
        <v>168.21705426356587</v>
      </c>
      <c r="P43" s="67">
        <f t="shared" si="0"/>
        <v>0.29602205677982929</v>
      </c>
      <c r="Q43" s="67">
        <f t="shared" si="1"/>
        <v>0.30375943269605304</v>
      </c>
      <c r="R43" s="68">
        <f>'Data Descriptors 2'!$C43-'Data Descriptors 2'!$B43</f>
        <v>0.21974460988683742</v>
      </c>
      <c r="S43" s="68">
        <f t="shared" si="2"/>
        <v>0.2656672170564417</v>
      </c>
      <c r="T43" s="32"/>
      <c r="U43" s="69">
        <f>'[1]Inflation Rate'!C48</f>
        <v>5.9322E-2</v>
      </c>
      <c r="V43" s="51">
        <f t="shared" si="3"/>
        <v>0.23480432778056382</v>
      </c>
      <c r="W43" s="51">
        <f t="shared" si="3"/>
        <v>0.44224324615178379</v>
      </c>
      <c r="X43" s="51">
        <f t="shared" si="3"/>
        <v>-4.4640502761829515E-2</v>
      </c>
      <c r="Y43" s="51">
        <f t="shared" si="3"/>
        <v>-5.1944585860475456E-2</v>
      </c>
      <c r="Z43" s="51">
        <f t="shared" si="3"/>
        <v>-1.5985533145992714E-2</v>
      </c>
      <c r="AA43" s="51">
        <f t="shared" si="3"/>
        <v>-2.163466321589258E-2</v>
      </c>
      <c r="AB43" s="51">
        <f t="shared" si="3"/>
        <v>3.4259420915802696E-2</v>
      </c>
      <c r="AC43" s="34">
        <f t="shared" si="8"/>
        <v>246.07299722304251</v>
      </c>
      <c r="AD43" s="36">
        <f t="shared" si="8"/>
        <v>1009.4560655938097</v>
      </c>
      <c r="AE43" s="35">
        <f t="shared" si="8"/>
        <v>86.115670495838657</v>
      </c>
      <c r="AF43" s="35">
        <f t="shared" si="8"/>
        <v>137.89658803900426</v>
      </c>
      <c r="AG43" s="35">
        <f t="shared" si="8"/>
        <v>253.7202881176259</v>
      </c>
      <c r="AH43" s="35">
        <f t="shared" si="8"/>
        <v>137.85810975136005</v>
      </c>
      <c r="AI43" s="35">
        <f t="shared" si="8"/>
        <v>116.40619934244555</v>
      </c>
      <c r="AJ43" s="51">
        <f>'Data Descriptors 2'!$V43-'Data Descriptors 2'!$X43</f>
        <v>0.27944483054239333</v>
      </c>
      <c r="AK43" s="51">
        <f>'Data Descriptors 2'!$V43-'Data Descriptors 2'!$Y43</f>
        <v>0.28674891364103927</v>
      </c>
    </row>
    <row r="44" spans="1:37">
      <c r="A44" s="32">
        <v>1951</v>
      </c>
      <c r="B44" s="33">
        <f>('[1]S&amp;P 500 &amp; Raw Data'!B27-'[1]S&amp;P 500 &amp; Raw Data'!B26+'[1]S&amp;P 500 &amp; Raw Data'!C27)/'[1]S&amp;P 500 &amp; Raw Data'!B26</f>
        <v>0.23678463044542339</v>
      </c>
      <c r="C44" s="33">
        <f>'[1]Small Cap'!B25</f>
        <v>3.9199999999999999E-2</v>
      </c>
      <c r="D44" s="33">
        <f>'[1]T. Bill rates'!C29</f>
        <v>1.5175000000000001E-2</v>
      </c>
      <c r="E44" s="33">
        <f>'[1]S&amp;P 500 &amp; Raw Data'!F27</f>
        <v>-2.9531392208319886E-3</v>
      </c>
      <c r="F44" s="33">
        <f>'[1]S&amp;P 500 &amp; Raw Data'!J27</f>
        <v>-1.9098091301369691E-3</v>
      </c>
      <c r="G44" s="33">
        <f>'[1]Home Prices'!B27/'[1]Home Prices'!B26-1</f>
        <v>6.0476481368356705E-2</v>
      </c>
      <c r="H44" s="33">
        <f>'[1]Gold Prices'!B26/'[1]Gold Prices'!B25-1</f>
        <v>0</v>
      </c>
      <c r="I44" s="34">
        <f t="shared" si="7"/>
        <v>439.7966859908575</v>
      </c>
      <c r="J44" s="35">
        <f t="shared" si="7"/>
        <v>1515.9346289921516</v>
      </c>
      <c r="K44" s="35">
        <f t="shared" si="7"/>
        <v>126.33305990434167</v>
      </c>
      <c r="L44" s="35">
        <f t="shared" si="7"/>
        <v>198.68405032411223</v>
      </c>
      <c r="M44" s="35">
        <f t="shared" si="7"/>
        <v>365.94759479500414</v>
      </c>
      <c r="N44" s="35">
        <f t="shared" si="7"/>
        <v>211.26486406095887</v>
      </c>
      <c r="O44" s="35">
        <f t="shared" si="7"/>
        <v>168.21705426356587</v>
      </c>
      <c r="P44" s="67">
        <f t="shared" si="0"/>
        <v>0.22160963044542339</v>
      </c>
      <c r="Q44" s="67">
        <f t="shared" si="1"/>
        <v>0.23973776966625537</v>
      </c>
      <c r="R44" s="68">
        <f>'Data Descriptors 2'!$C44-'Data Descriptors 2'!$B44</f>
        <v>-0.1975846304454234</v>
      </c>
      <c r="S44" s="68">
        <f t="shared" si="2"/>
        <v>0.23869443957556036</v>
      </c>
      <c r="T44" s="32"/>
      <c r="U44" s="69">
        <f>'[1]Inflation Rate'!C49</f>
        <v>0.06</v>
      </c>
      <c r="V44" s="51">
        <f t="shared" si="3"/>
        <v>0.16677795325039924</v>
      </c>
      <c r="W44" s="51">
        <f t="shared" si="3"/>
        <v>-1.9622641509434158E-2</v>
      </c>
      <c r="X44" s="51">
        <f t="shared" si="3"/>
        <v>-4.2287735849056762E-2</v>
      </c>
      <c r="Y44" s="51">
        <f t="shared" si="3"/>
        <v>-5.9389753981917037E-2</v>
      </c>
      <c r="Z44" s="51">
        <f t="shared" si="3"/>
        <v>-5.8405480311449987E-2</v>
      </c>
      <c r="AA44" s="51">
        <f t="shared" si="3"/>
        <v>4.4951072486476562E-4</v>
      </c>
      <c r="AB44" s="51">
        <f t="shared" si="3"/>
        <v>-5.6603773584905759E-2</v>
      </c>
      <c r="AC44" s="34">
        <f t="shared" si="8"/>
        <v>287.1125480500927</v>
      </c>
      <c r="AD44" s="36">
        <f t="shared" si="8"/>
        <v>989.64787109913857</v>
      </c>
      <c r="AE44" s="35">
        <f t="shared" si="8"/>
        <v>82.474033769446223</v>
      </c>
      <c r="AF44" s="35">
        <f t="shared" si="8"/>
        <v>129.70694360042202</v>
      </c>
      <c r="AG44" s="35">
        <f t="shared" si="8"/>
        <v>238.90163282535647</v>
      </c>
      <c r="AH44" s="35">
        <f t="shared" si="8"/>
        <v>137.92007845020288</v>
      </c>
      <c r="AI44" s="35">
        <f t="shared" si="8"/>
        <v>109.81716919098635</v>
      </c>
      <c r="AJ44" s="51">
        <f>'Data Descriptors 2'!$V44-'Data Descriptors 2'!$X44</f>
        <v>0.209065689099456</v>
      </c>
      <c r="AK44" s="51">
        <f>'Data Descriptors 2'!$V44-'Data Descriptors 2'!$Y44</f>
        <v>0.22616770723231627</v>
      </c>
    </row>
    <row r="45" spans="1:37">
      <c r="A45" s="32">
        <v>1952</v>
      </c>
      <c r="B45" s="33">
        <f>('[1]S&amp;P 500 &amp; Raw Data'!B28-'[1]S&amp;P 500 &amp; Raw Data'!B27+'[1]S&amp;P 500 &amp; Raw Data'!C28)/'[1]S&amp;P 500 &amp; Raw Data'!B27</f>
        <v>0.18150988641144306</v>
      </c>
      <c r="C45" s="33">
        <f>'[1]Small Cap'!B26</f>
        <v>1.1899999999999999E-2</v>
      </c>
      <c r="D45" s="33">
        <f>'[1]T. Bill rates'!C30</f>
        <v>1.7225000000000001E-2</v>
      </c>
      <c r="E45" s="33">
        <f>'[1]S&amp;P 500 &amp; Raw Data'!F28</f>
        <v>2.2679961918305656E-2</v>
      </c>
      <c r="F45" s="33">
        <f>'[1]S&amp;P 500 &amp; Raw Data'!J28</f>
        <v>4.4412415047400768E-2</v>
      </c>
      <c r="G45" s="33">
        <f>'[1]Home Prices'!B28/'[1]Home Prices'!B27-1</f>
        <v>4.4066820276497776E-2</v>
      </c>
      <c r="H45" s="33">
        <f>'[1]Gold Prices'!B27/'[1]Gold Prices'!B26-1</f>
        <v>-3.4562211981565838E-3</v>
      </c>
      <c r="I45" s="34">
        <f t="shared" si="7"/>
        <v>519.62413250918712</v>
      </c>
      <c r="J45" s="35">
        <f t="shared" si="7"/>
        <v>1533.9742510771582</v>
      </c>
      <c r="K45" s="35">
        <f t="shared" si="7"/>
        <v>128.50914686119395</v>
      </c>
      <c r="L45" s="35">
        <f t="shared" si="7"/>
        <v>203.19019701923781</v>
      </c>
      <c r="M45" s="35">
        <f t="shared" si="7"/>
        <v>382.2002112606379</v>
      </c>
      <c r="N45" s="35">
        <f t="shared" si="7"/>
        <v>220.57463485627187</v>
      </c>
      <c r="O45" s="35">
        <f t="shared" si="7"/>
        <v>167.63565891472868</v>
      </c>
      <c r="P45" s="67">
        <f t="shared" si="0"/>
        <v>0.16428488641144307</v>
      </c>
      <c r="Q45" s="67">
        <f t="shared" si="1"/>
        <v>0.1588299244931374</v>
      </c>
      <c r="R45" s="68">
        <f>'Data Descriptors 2'!$C45-'Data Descriptors 2'!$B45</f>
        <v>-0.16960988641144306</v>
      </c>
      <c r="S45" s="68">
        <f t="shared" si="2"/>
        <v>0.13709747136404229</v>
      </c>
      <c r="T45" s="32"/>
      <c r="U45" s="69">
        <f>'[1]Inflation Rate'!C50</f>
        <v>7.5471999999999996E-3</v>
      </c>
      <c r="V45" s="51">
        <f t="shared" si="3"/>
        <v>0.17265958995414099</v>
      </c>
      <c r="W45" s="51">
        <f t="shared" si="3"/>
        <v>4.3201946271103076E-3</v>
      </c>
      <c r="X45" s="51">
        <f t="shared" si="3"/>
        <v>9.6053068283052934E-3</v>
      </c>
      <c r="Y45" s="51">
        <f t="shared" si="3"/>
        <v>1.5019407446425825E-2</v>
      </c>
      <c r="Z45" s="51">
        <f t="shared" si="3"/>
        <v>3.6589070018159697E-2</v>
      </c>
      <c r="AA45" s="51">
        <f t="shared" si="3"/>
        <v>3.6246063982409593E-2</v>
      </c>
      <c r="AB45" s="51">
        <f t="shared" si="3"/>
        <v>-1.0920998240237956E-2</v>
      </c>
      <c r="AC45" s="34">
        <f t="shared" si="8"/>
        <v>336.68528286711029</v>
      </c>
      <c r="AD45" s="36">
        <f t="shared" si="8"/>
        <v>993.92334251459226</v>
      </c>
      <c r="AE45" s="35">
        <f t="shared" si="8"/>
        <v>83.266222169169765</v>
      </c>
      <c r="AF45" s="35">
        <f t="shared" si="8"/>
        <v>131.65506503498733</v>
      </c>
      <c r="AG45" s="35">
        <f t="shared" si="8"/>
        <v>247.64282139625612</v>
      </c>
      <c r="AH45" s="35">
        <f t="shared" si="8"/>
        <v>142.91913843816789</v>
      </c>
      <c r="AI45" s="35">
        <f t="shared" si="8"/>
        <v>108.61785607950367</v>
      </c>
      <c r="AJ45" s="51">
        <f>'Data Descriptors 2'!$V45-'Data Descriptors 2'!$X45</f>
        <v>0.1630542831258357</v>
      </c>
      <c r="AK45" s="51">
        <f>'Data Descriptors 2'!$V45-'Data Descriptors 2'!$Y45</f>
        <v>0.15764018250771517</v>
      </c>
    </row>
    <row r="46" spans="1:37">
      <c r="A46" s="32">
        <v>1953</v>
      </c>
      <c r="B46" s="33">
        <f>('[1]S&amp;P 500 &amp; Raw Data'!B29-'[1]S&amp;P 500 &amp; Raw Data'!B28+'[1]S&amp;P 500 &amp; Raw Data'!C29)/'[1]S&amp;P 500 &amp; Raw Data'!B28</f>
        <v>-1.2082047421904465E-2</v>
      </c>
      <c r="C46" s="33">
        <f>'[1]Small Cap'!B27</f>
        <v>-5.7999999999999996E-2</v>
      </c>
      <c r="D46" s="33">
        <f>'[1]T. Bill rates'!C31</f>
        <v>1.8908333333333333E-2</v>
      </c>
      <c r="E46" s="33">
        <f>'[1]S&amp;P 500 &amp; Raw Data'!F29</f>
        <v>4.1438402589088513E-2</v>
      </c>
      <c r="F46" s="33">
        <f>'[1]S&amp;P 500 &amp; Raw Data'!J29</f>
        <v>1.6201123818443276E-2</v>
      </c>
      <c r="G46" s="33">
        <f>'[1]Home Prices'!B29/'[1]Home Prices'!B28-1</f>
        <v>0.11516568544995809</v>
      </c>
      <c r="H46" s="33">
        <f>'[1]Gold Prices'!B28/'[1]Gold Prices'!B27-1</f>
        <v>6.9364161849712058E-3</v>
      </c>
      <c r="I46" s="34">
        <f t="shared" si="7"/>
        <v>513.34600909864514</v>
      </c>
      <c r="J46" s="35">
        <f t="shared" si="7"/>
        <v>1445.0037445146829</v>
      </c>
      <c r="K46" s="35">
        <f t="shared" si="7"/>
        <v>130.93904064642769</v>
      </c>
      <c r="L46" s="35">
        <f t="shared" si="7"/>
        <v>211.61007420547722</v>
      </c>
      <c r="M46" s="35">
        <f t="shared" si="7"/>
        <v>388.39228420670662</v>
      </c>
      <c r="N46" s="35">
        <f t="shared" si="7"/>
        <v>245.97726387236864</v>
      </c>
      <c r="O46" s="35">
        <f t="shared" si="7"/>
        <v>168.79844961240312</v>
      </c>
      <c r="P46" s="67">
        <f t="shared" si="0"/>
        <v>-3.0990380755237797E-2</v>
      </c>
      <c r="Q46" s="67">
        <f t="shared" si="1"/>
        <v>-5.3520450010992981E-2</v>
      </c>
      <c r="R46" s="68">
        <f>'Data Descriptors 2'!$C46-'Data Descriptors 2'!$B46</f>
        <v>-4.5917952578095528E-2</v>
      </c>
      <c r="S46" s="68">
        <f t="shared" si="2"/>
        <v>-2.8283171240347741E-2</v>
      </c>
      <c r="T46" s="32"/>
      <c r="U46" s="69">
        <f>'[1]Inflation Rate'!C51</f>
        <v>7.4905999999999992E-3</v>
      </c>
      <c r="V46" s="51">
        <f t="shared" si="3"/>
        <v>-1.942712658748813E-2</v>
      </c>
      <c r="W46" s="51">
        <f t="shared" si="3"/>
        <v>-6.5003683409056046E-2</v>
      </c>
      <c r="X46" s="51">
        <f t="shared" si="3"/>
        <v>1.1332843535545978E-2</v>
      </c>
      <c r="Y46" s="51">
        <f t="shared" si="3"/>
        <v>3.3695403797403767E-2</v>
      </c>
      <c r="Z46" s="51">
        <f t="shared" si="3"/>
        <v>8.6457618745459097E-3</v>
      </c>
      <c r="AA46" s="51">
        <f t="shared" si="3"/>
        <v>0.10687453108739486</v>
      </c>
      <c r="AB46" s="51">
        <f t="shared" si="3"/>
        <v>-5.5006350930586478E-4</v>
      </c>
      <c r="AC46" s="34">
        <f t="shared" si="8"/>
        <v>330.14445525670669</v>
      </c>
      <c r="AD46" s="36">
        <f t="shared" si="8"/>
        <v>929.31466422490291</v>
      </c>
      <c r="AE46" s="35">
        <f t="shared" si="8"/>
        <v>84.20986523680898</v>
      </c>
      <c r="AF46" s="35">
        <f t="shared" si="8"/>
        <v>136.09123561331469</v>
      </c>
      <c r="AG46" s="35">
        <f t="shared" si="8"/>
        <v>249.78388225998887</v>
      </c>
      <c r="AH46" s="35">
        <f t="shared" si="8"/>
        <v>158.19355434216155</v>
      </c>
      <c r="AI46" s="35">
        <f t="shared" si="8"/>
        <v>108.5581093604153</v>
      </c>
      <c r="AJ46" s="51">
        <f>'Data Descriptors 2'!$V46-'Data Descriptors 2'!$X46</f>
        <v>-3.0759970123034108E-2</v>
      </c>
      <c r="AK46" s="51">
        <f>'Data Descriptors 2'!$V46-'Data Descriptors 2'!$Y46</f>
        <v>-5.3122530384891897E-2</v>
      </c>
    </row>
    <row r="47" spans="1:37">
      <c r="A47" s="32">
        <v>1954</v>
      </c>
      <c r="B47" s="33">
        <f>('[1]S&amp;P 500 &amp; Raw Data'!B30-'[1]S&amp;P 500 &amp; Raw Data'!B29+'[1]S&amp;P 500 &amp; Raw Data'!C30)/'[1]S&amp;P 500 &amp; Raw Data'!B29</f>
        <v>0.52563321241434902</v>
      </c>
      <c r="C47" s="33">
        <f>'[1]Small Cap'!B28</f>
        <v>0.63900000000000001</v>
      </c>
      <c r="D47" s="33">
        <f>'[1]T. Bill rates'!C32</f>
        <v>9.3752000000000002E-3</v>
      </c>
      <c r="E47" s="33">
        <f>'[1]S&amp;P 500 &amp; Raw Data'!F30</f>
        <v>3.2898034558095555E-2</v>
      </c>
      <c r="F47" s="33">
        <f>'[1]S&amp;P 500 &amp; Raw Data'!J30</f>
        <v>6.1579051817707856E-2</v>
      </c>
      <c r="G47" s="33">
        <f>'[1]Home Prices'!B30/'[1]Home Prices'!B29-1</f>
        <v>9.2272202998846531E-3</v>
      </c>
      <c r="H47" s="33">
        <f>'[1]Gold Prices'!B29/'[1]Gold Prices'!B28-1</f>
        <v>5.7405281285876075E-3</v>
      </c>
      <c r="I47" s="34">
        <f t="shared" si="7"/>
        <v>783.17772094125166</v>
      </c>
      <c r="J47" s="35">
        <f t="shared" si="7"/>
        <v>2368.3611372595651</v>
      </c>
      <c r="K47" s="35">
        <f t="shared" si="7"/>
        <v>132.16662034029608</v>
      </c>
      <c r="L47" s="35">
        <f t="shared" si="7"/>
        <v>218.57162973953018</v>
      </c>
      <c r="M47" s="35">
        <f t="shared" si="7"/>
        <v>412.30911280146938</v>
      </c>
      <c r="N47" s="35">
        <f t="shared" si="7"/>
        <v>248.24695027488184</v>
      </c>
      <c r="O47" s="35">
        <f t="shared" si="7"/>
        <v>169.76744186046508</v>
      </c>
      <c r="P47" s="67">
        <f t="shared" si="0"/>
        <v>0.51625801241434899</v>
      </c>
      <c r="Q47" s="67">
        <f t="shared" si="1"/>
        <v>0.49273517785625348</v>
      </c>
      <c r="R47" s="68">
        <f>'Data Descriptors 2'!$C47-'Data Descriptors 2'!$B47</f>
        <v>0.113366787585651</v>
      </c>
      <c r="S47" s="68">
        <f t="shared" si="2"/>
        <v>0.46405416059664117</v>
      </c>
      <c r="T47" s="32"/>
      <c r="U47" s="69">
        <f>'[1]Inflation Rate'!C52</f>
        <v>-7.4348999999999995E-3</v>
      </c>
      <c r="V47" s="51">
        <f t="shared" si="3"/>
        <v>0.53706110804656437</v>
      </c>
      <c r="W47" s="51">
        <f t="shared" si="3"/>
        <v>0.65127707996180817</v>
      </c>
      <c r="X47" s="51">
        <f t="shared" si="3"/>
        <v>1.6936017597233732E-2</v>
      </c>
      <c r="Y47" s="51">
        <f t="shared" si="3"/>
        <v>4.063505210700602E-2</v>
      </c>
      <c r="Z47" s="51">
        <f t="shared" si="3"/>
        <v>6.9530907159347066E-2</v>
      </c>
      <c r="AA47" s="51">
        <f t="shared" si="3"/>
        <v>1.6786929441589882E-2</v>
      </c>
      <c r="AB47" s="51">
        <f t="shared" si="3"/>
        <v>1.3274119882501934E-2</v>
      </c>
      <c r="AC47" s="34">
        <f t="shared" si="8"/>
        <v>507.45220221230301</v>
      </c>
      <c r="AD47" s="36">
        <f t="shared" si="8"/>
        <v>1534.5560051069858</v>
      </c>
      <c r="AE47" s="35">
        <f t="shared" si="8"/>
        <v>85.636044996320251</v>
      </c>
      <c r="AF47" s="35">
        <f t="shared" si="8"/>
        <v>141.62131006376856</v>
      </c>
      <c r="AG47" s="35">
        <f t="shared" si="8"/>
        <v>267.15158218730943</v>
      </c>
      <c r="AH47" s="35">
        <f t="shared" si="8"/>
        <v>160.84913837701774</v>
      </c>
      <c r="AI47" s="35">
        <f t="shared" si="8"/>
        <v>109.9991227182832</v>
      </c>
      <c r="AJ47" s="51">
        <f>'Data Descriptors 2'!$V47-'Data Descriptors 2'!$X47</f>
        <v>0.52012509044933064</v>
      </c>
      <c r="AK47" s="51">
        <f>'Data Descriptors 2'!$V47-'Data Descriptors 2'!$Y47</f>
        <v>0.49642605593955835</v>
      </c>
    </row>
    <row r="48" spans="1:37">
      <c r="A48" s="32">
        <v>1955</v>
      </c>
      <c r="B48" s="33">
        <f>('[1]S&amp;P 500 &amp; Raw Data'!B31-'[1]S&amp;P 500 &amp; Raw Data'!B30+'[1]S&amp;P 500 &amp; Raw Data'!C31)/'[1]S&amp;P 500 &amp; Raw Data'!B30</f>
        <v>0.32597331851028349</v>
      </c>
      <c r="C48" s="33">
        <f>'[1]Small Cap'!B29</f>
        <v>0.27089999999999997</v>
      </c>
      <c r="D48" s="33">
        <f>'[1]T. Bill rates'!C33</f>
        <v>1.7243426294820716E-2</v>
      </c>
      <c r="E48" s="33">
        <f>'[1]S&amp;P 500 &amp; Raw Data'!F31</f>
        <v>-1.3364391288618781E-2</v>
      </c>
      <c r="F48" s="33">
        <f>'[1]S&amp;P 500 &amp; Raw Data'!J31</f>
        <v>2.044690004344954E-2</v>
      </c>
      <c r="G48" s="33">
        <f>'[1]Home Prices'!B31/'[1]Home Prices'!B30-1</f>
        <v>0</v>
      </c>
      <c r="H48" s="33">
        <f>'[1]Gold Prices'!B30/'[1]Gold Prices'!B29-1</f>
        <v>-2.8538812785383616E-4</v>
      </c>
      <c r="I48" s="34">
        <f t="shared" si="7"/>
        <v>1038.4727616197922</v>
      </c>
      <c r="J48" s="35">
        <f t="shared" si="7"/>
        <v>3009.9501693431812</v>
      </c>
      <c r="K48" s="35">
        <f t="shared" si="7"/>
        <v>134.44562571676951</v>
      </c>
      <c r="L48" s="35">
        <f t="shared" si="7"/>
        <v>215.65055295509998</v>
      </c>
      <c r="M48" s="35">
        <f t="shared" si="7"/>
        <v>420.73955601792437</v>
      </c>
      <c r="N48" s="35">
        <f t="shared" si="7"/>
        <v>248.24695027488184</v>
      </c>
      <c r="O48" s="35">
        <f t="shared" si="7"/>
        <v>169.71899224806199</v>
      </c>
      <c r="P48" s="67">
        <f t="shared" si="0"/>
        <v>0.30872989221546276</v>
      </c>
      <c r="Q48" s="67">
        <f t="shared" si="1"/>
        <v>0.33933770979890227</v>
      </c>
      <c r="R48" s="68">
        <f>'Data Descriptors 2'!$C48-'Data Descriptors 2'!$B48</f>
        <v>-5.507331851028352E-2</v>
      </c>
      <c r="S48" s="68">
        <f t="shared" si="2"/>
        <v>0.30552641846683393</v>
      </c>
      <c r="T48" s="32"/>
      <c r="U48" s="69">
        <f>'[1]Inflation Rate'!C53</f>
        <v>3.7452999999999996E-3</v>
      </c>
      <c r="V48" s="51">
        <f t="shared" si="3"/>
        <v>0.32102568102713258</v>
      </c>
      <c r="W48" s="51">
        <f t="shared" si="3"/>
        <v>0.26615785897079647</v>
      </c>
      <c r="X48" s="51">
        <f t="shared" si="3"/>
        <v>1.344776039780271E-2</v>
      </c>
      <c r="Y48" s="51">
        <f t="shared" si="3"/>
        <v>-1.7045849468604102E-2</v>
      </c>
      <c r="Z48" s="51">
        <f t="shared" si="3"/>
        <v>1.6639280944527934E-2</v>
      </c>
      <c r="AA48" s="51">
        <f t="shared" si="3"/>
        <v>-3.7313250682220467E-3</v>
      </c>
      <c r="AB48" s="51">
        <f t="shared" si="3"/>
        <v>-4.0156483202002935E-3</v>
      </c>
      <c r="AC48" s="34">
        <f t="shared" si="8"/>
        <v>670.35739101622573</v>
      </c>
      <c r="AD48" s="36">
        <f t="shared" si="8"/>
        <v>1942.9901458970398</v>
      </c>
      <c r="AE48" s="35">
        <f t="shared" si="8"/>
        <v>86.787658010846215</v>
      </c>
      <c r="AF48" s="35">
        <f t="shared" si="8"/>
        <v>139.20725453087505</v>
      </c>
      <c r="AG48" s="35">
        <f t="shared" si="8"/>
        <v>271.5967924180992</v>
      </c>
      <c r="AH48" s="35">
        <f t="shared" si="8"/>
        <v>160.24895795478966</v>
      </c>
      <c r="AI48" s="35">
        <f t="shared" si="8"/>
        <v>109.55740492591602</v>
      </c>
      <c r="AJ48" s="51">
        <f>'Data Descriptors 2'!$V48-'Data Descriptors 2'!$X48</f>
        <v>0.30757792062932987</v>
      </c>
      <c r="AK48" s="51">
        <f>'Data Descriptors 2'!$V48-'Data Descriptors 2'!$Y48</f>
        <v>0.33807153049573668</v>
      </c>
    </row>
    <row r="49" spans="1:37">
      <c r="A49" s="32">
        <v>1956</v>
      </c>
      <c r="B49" s="33">
        <f>('[1]S&amp;P 500 &amp; Raw Data'!B32-'[1]S&amp;P 500 &amp; Raw Data'!B31+'[1]S&amp;P 500 &amp; Raw Data'!C32)/'[1]S&amp;P 500 &amp; Raw Data'!B31</f>
        <v>7.4395118733509347E-2</v>
      </c>
      <c r="C49" s="33">
        <f>'[1]Small Cap'!B30</f>
        <v>-9.8999999999999991E-3</v>
      </c>
      <c r="D49" s="33">
        <f>'[1]T. Bill rates'!C34</f>
        <v>2.6213888888888887E-2</v>
      </c>
      <c r="E49" s="33">
        <f>'[1]S&amp;P 500 &amp; Raw Data'!F32</f>
        <v>-2.2557738173154165E-2</v>
      </c>
      <c r="F49" s="33">
        <f>'[1]S&amp;P 500 &amp; Raw Data'!J32</f>
        <v>-2.3526541979620903E-2</v>
      </c>
      <c r="G49" s="33">
        <f>'[1]Home Prices'!B32/'[1]Home Prices'!B31-1</f>
        <v>9.1428571428571193E-3</v>
      </c>
      <c r="H49" s="33">
        <f>'[1]Gold Prices'!B31/'[1]Gold Prices'!B30-1</f>
        <v>-1.1418783899515006E-3</v>
      </c>
      <c r="I49" s="34">
        <f t="shared" si="7"/>
        <v>1115.7300660220119</v>
      </c>
      <c r="J49" s="35">
        <f t="shared" si="7"/>
        <v>2980.1516626666835</v>
      </c>
      <c r="K49" s="35">
        <f t="shared" si="7"/>
        <v>137.96996841090606</v>
      </c>
      <c r="L49" s="35">
        <f t="shared" si="7"/>
        <v>210.78596424464291</v>
      </c>
      <c r="M49" s="35">
        <f t="shared" si="7"/>
        <v>410.84100919078162</v>
      </c>
      <c r="N49" s="35">
        <f t="shared" si="7"/>
        <v>250.51663667739504</v>
      </c>
      <c r="O49" s="35">
        <f t="shared" si="7"/>
        <v>169.52519379844958</v>
      </c>
      <c r="P49" s="67">
        <f t="shared" si="0"/>
        <v>4.8181229844620463E-2</v>
      </c>
      <c r="Q49" s="67">
        <f t="shared" si="1"/>
        <v>9.6952856906663512E-2</v>
      </c>
      <c r="R49" s="68">
        <f>'Data Descriptors 2'!$C49-'Data Descriptors 2'!$B49</f>
        <v>-8.4295118733509339E-2</v>
      </c>
      <c r="S49" s="68">
        <f t="shared" si="2"/>
        <v>9.7921660713130243E-2</v>
      </c>
      <c r="T49" s="32"/>
      <c r="U49" s="69">
        <f>'[1]Inflation Rate'!C54</f>
        <v>2.9850699999999997E-2</v>
      </c>
      <c r="V49" s="51">
        <f t="shared" si="3"/>
        <v>4.3253278104786741E-2</v>
      </c>
      <c r="W49" s="51">
        <f t="shared" si="3"/>
        <v>-3.8598507531237169E-2</v>
      </c>
      <c r="X49" s="51">
        <f t="shared" si="3"/>
        <v>-3.5313964549530397E-3</v>
      </c>
      <c r="Y49" s="51">
        <f t="shared" si="3"/>
        <v>-5.0889355295048233E-2</v>
      </c>
      <c r="Z49" s="51">
        <f t="shared" si="3"/>
        <v>-5.1830077874026603E-2</v>
      </c>
      <c r="AA49" s="51">
        <f t="shared" si="3"/>
        <v>-2.0107616431335851E-2</v>
      </c>
      <c r="AB49" s="51">
        <f t="shared" si="3"/>
        <v>-3.0094244136505854E-2</v>
      </c>
      <c r="AC49" s="34">
        <f t="shared" si="8"/>
        <v>699.3525456794498</v>
      </c>
      <c r="AD49" s="36">
        <f t="shared" si="8"/>
        <v>1867.9936261175133</v>
      </c>
      <c r="AE49" s="35">
        <f t="shared" si="8"/>
        <v>86.481176383013036</v>
      </c>
      <c r="AF49" s="35">
        <f t="shared" si="8"/>
        <v>132.12308709540514</v>
      </c>
      <c r="AG49" s="35">
        <f t="shared" si="8"/>
        <v>257.51990951673326</v>
      </c>
      <c r="AH49" s="35">
        <f t="shared" si="8"/>
        <v>157.02673337471347</v>
      </c>
      <c r="AI49" s="35">
        <f t="shared" si="8"/>
        <v>106.26035763511346</v>
      </c>
      <c r="AJ49" s="51">
        <f>'Data Descriptors 2'!$V49-'Data Descriptors 2'!$X49</f>
        <v>4.6784674559739781E-2</v>
      </c>
      <c r="AK49" s="51">
        <f>'Data Descriptors 2'!$V49-'Data Descriptors 2'!$Y49</f>
        <v>9.4142633399834974E-2</v>
      </c>
    </row>
    <row r="50" spans="1:37">
      <c r="A50" s="32">
        <v>1957</v>
      </c>
      <c r="B50" s="33">
        <f>('[1]S&amp;P 500 &amp; Raw Data'!B33-'[1]S&amp;P 500 &amp; Raw Data'!B32+'[1]S&amp;P 500 &amp; Raw Data'!C33)/'[1]S&amp;P 500 &amp; Raw Data'!B32</f>
        <v>-0.1045736018855796</v>
      </c>
      <c r="C50" s="33">
        <f>'[1]Small Cap'!B31</f>
        <v>-0.1525</v>
      </c>
      <c r="D50" s="33">
        <f>'[1]T. Bill rates'!C35</f>
        <v>3.2245669291338583E-2</v>
      </c>
      <c r="E50" s="33">
        <f>'[1]S&amp;P 500 &amp; Raw Data'!F33</f>
        <v>6.7970128466249904E-2</v>
      </c>
      <c r="F50" s="33">
        <f>'[1]S&amp;P 500 &amp; Raw Data'!J33</f>
        <v>-7.1892844025423647E-3</v>
      </c>
      <c r="G50" s="33">
        <f>'[1]Home Prices'!B33/'[1]Home Prices'!B32-1</f>
        <v>2.7180067950169917E-2</v>
      </c>
      <c r="H50" s="33">
        <f>'[1]Gold Prices'!B32/'[1]Gold Prices'!B31-1</f>
        <v>-1.1431837667904565E-3</v>
      </c>
      <c r="I50" s="34">
        <f t="shared" si="7"/>
        <v>999.05415428605454</v>
      </c>
      <c r="J50" s="35">
        <f t="shared" si="7"/>
        <v>2525.6785341100144</v>
      </c>
      <c r="K50" s="35">
        <f t="shared" si="7"/>
        <v>142.41890238442059</v>
      </c>
      <c r="L50" s="35">
        <f t="shared" si="7"/>
        <v>225.11311331323367</v>
      </c>
      <c r="M50" s="35">
        <f t="shared" si="7"/>
        <v>407.88735633148156</v>
      </c>
      <c r="N50" s="35">
        <f t="shared" si="7"/>
        <v>257.32569588493465</v>
      </c>
      <c r="O50" s="35">
        <f t="shared" si="7"/>
        <v>169.33139534883719</v>
      </c>
      <c r="P50" s="67">
        <f t="shared" si="0"/>
        <v>-0.13681927117691817</v>
      </c>
      <c r="Q50" s="67">
        <f t="shared" si="1"/>
        <v>-0.17254373035182952</v>
      </c>
      <c r="R50" s="68">
        <f>'Data Descriptors 2'!$C50-'Data Descriptors 2'!$B50</f>
        <v>-4.7926398114420399E-2</v>
      </c>
      <c r="S50" s="68">
        <f t="shared" si="2"/>
        <v>-9.7384317483037233E-2</v>
      </c>
      <c r="T50" s="32"/>
      <c r="U50" s="69">
        <f>'[1]Inflation Rate'!C55</f>
        <v>2.8985500000000001E-2</v>
      </c>
      <c r="V50" s="51">
        <f t="shared" si="3"/>
        <v>-0.12979687457751321</v>
      </c>
      <c r="W50" s="51">
        <f t="shared" si="3"/>
        <v>-0.17637323363643131</v>
      </c>
      <c r="X50" s="51">
        <f t="shared" si="3"/>
        <v>3.1683335589651751E-3</v>
      </c>
      <c r="Y50" s="51">
        <f t="shared" si="3"/>
        <v>3.7886470184710808E-2</v>
      </c>
      <c r="Z50" s="51">
        <f t="shared" si="3"/>
        <v>-3.5155776638779224E-2</v>
      </c>
      <c r="AA50" s="51">
        <f t="shared" si="3"/>
        <v>-1.754574821346111E-3</v>
      </c>
      <c r="AB50" s="51">
        <f t="shared" si="3"/>
        <v>-2.927998865561332E-2</v>
      </c>
      <c r="AC50" s="34">
        <f t="shared" si="8"/>
        <v>608.57877102242969</v>
      </c>
      <c r="AD50" s="36">
        <f t="shared" si="8"/>
        <v>1538.5295498669245</v>
      </c>
      <c r="AE50" s="35">
        <f t="shared" si="8"/>
        <v>86.755177596366124</v>
      </c>
      <c r="AF50" s="35">
        <f t="shared" si="8"/>
        <v>137.12876449535716</v>
      </c>
      <c r="AG50" s="35">
        <f t="shared" si="8"/>
        <v>248.46659709772436</v>
      </c>
      <c r="AH50" s="35">
        <f t="shared" si="8"/>
        <v>156.75121822205597</v>
      </c>
      <c r="AI50" s="35">
        <f t="shared" si="8"/>
        <v>103.14905556901593</v>
      </c>
      <c r="AJ50" s="51">
        <f>'Data Descriptors 2'!$V50-'Data Descriptors 2'!$X50</f>
        <v>-0.13296520813647839</v>
      </c>
      <c r="AK50" s="51">
        <f>'Data Descriptors 2'!$V50-'Data Descriptors 2'!$Y50</f>
        <v>-0.16768334476222402</v>
      </c>
    </row>
    <row r="51" spans="1:37">
      <c r="A51" s="32">
        <v>1958</v>
      </c>
      <c r="B51" s="33">
        <f>('[1]S&amp;P 500 &amp; Raw Data'!B34-'[1]S&amp;P 500 &amp; Raw Data'!B33+'[1]S&amp;P 500 &amp; Raw Data'!C34)/'[1]S&amp;P 500 &amp; Raw Data'!B33</f>
        <v>0.43719954988747184</v>
      </c>
      <c r="C51" s="33">
        <f>'[1]Small Cap'!B32</f>
        <v>0.69349999999999989</v>
      </c>
      <c r="D51" s="33">
        <f>'[1]T. Bill rates'!C36</f>
        <v>1.7665461847389558E-2</v>
      </c>
      <c r="E51" s="33">
        <f>'[1]S&amp;P 500 &amp; Raw Data'!F34</f>
        <v>-2.0990181755274694E-2</v>
      </c>
      <c r="F51" s="33">
        <f>'[1]S&amp;P 500 &amp; Raw Data'!J34</f>
        <v>6.4300928973360261E-2</v>
      </c>
      <c r="G51" s="33">
        <f>'[1]Home Prices'!B34/'[1]Home Prices'!B33-1</f>
        <v>6.6152149944873617E-3</v>
      </c>
      <c r="H51" s="33">
        <f>'[1]Gold Prices'!B33/'[1]Gold Prices'!B32-1</f>
        <v>4.2918454935620964E-3</v>
      </c>
      <c r="I51" s="34">
        <f t="shared" si="7"/>
        <v>1435.8401808531264</v>
      </c>
      <c r="J51" s="35">
        <f t="shared" si="7"/>
        <v>4277.2365975153089</v>
      </c>
      <c r="K51" s="35">
        <f t="shared" si="7"/>
        <v>144.93479807083966</v>
      </c>
      <c r="L51" s="35">
        <f t="shared" si="7"/>
        <v>220.38794814929315</v>
      </c>
      <c r="M51" s="35">
        <f t="shared" si="7"/>
        <v>434.11489226008382</v>
      </c>
      <c r="N51" s="35">
        <f t="shared" si="7"/>
        <v>259.02796068681954</v>
      </c>
      <c r="O51" s="35">
        <f t="shared" si="7"/>
        <v>170.05813953488368</v>
      </c>
      <c r="P51" s="67">
        <f t="shared" si="0"/>
        <v>0.4195340880400823</v>
      </c>
      <c r="Q51" s="67">
        <f t="shared" si="1"/>
        <v>0.45818973164274651</v>
      </c>
      <c r="R51" s="68">
        <f>'Data Descriptors 2'!$C51-'Data Descriptors 2'!$B51</f>
        <v>0.25630045011252806</v>
      </c>
      <c r="S51" s="68">
        <f t="shared" si="2"/>
        <v>0.37289862091411158</v>
      </c>
      <c r="T51" s="32"/>
      <c r="U51" s="69">
        <f>'[1]Inflation Rate'!C56</f>
        <v>1.7605599999999999E-2</v>
      </c>
      <c r="V51" s="51">
        <f t="shared" si="3"/>
        <v>0.41233455268669106</v>
      </c>
      <c r="W51" s="51">
        <f t="shared" si="3"/>
        <v>0.66420074732293122</v>
      </c>
      <c r="X51" s="51">
        <f t="shared" si="3"/>
        <v>5.8826177243398448E-5</v>
      </c>
      <c r="Y51" s="51">
        <f t="shared" si="3"/>
        <v>-3.7928035925976267E-2</v>
      </c>
      <c r="Z51" s="51">
        <f t="shared" si="3"/>
        <v>4.5887452833750286E-2</v>
      </c>
      <c r="AA51" s="51">
        <f t="shared" si="3"/>
        <v>-1.0800240294975394E-2</v>
      </c>
      <c r="AB51" s="51">
        <f t="shared" si="3"/>
        <v>-1.3083413167574887E-2</v>
      </c>
      <c r="AC51" s="34">
        <f t="shared" si="8"/>
        <v>859.51682634657936</v>
      </c>
      <c r="AD51" s="36">
        <f t="shared" si="8"/>
        <v>2560.4220266669486</v>
      </c>
      <c r="AE51" s="35">
        <f t="shared" si="8"/>
        <v>86.760281071820188</v>
      </c>
      <c r="AF51" s="35">
        <f t="shared" si="8"/>
        <v>131.92773978909253</v>
      </c>
      <c r="AG51" s="35">
        <f t="shared" si="8"/>
        <v>259.86809635280861</v>
      </c>
      <c r="AH51" s="35">
        <f t="shared" si="8"/>
        <v>155.05826739872765</v>
      </c>
      <c r="AI51" s="35">
        <f t="shared" si="8"/>
        <v>101.79951385716136</v>
      </c>
      <c r="AJ51" s="51">
        <f>'Data Descriptors 2'!$V51-'Data Descriptors 2'!$X51</f>
        <v>0.41227572650944766</v>
      </c>
      <c r="AK51" s="51">
        <f>'Data Descriptors 2'!$V51-'Data Descriptors 2'!$Y51</f>
        <v>0.45026258861266732</v>
      </c>
    </row>
    <row r="52" spans="1:37">
      <c r="A52" s="32">
        <v>1959</v>
      </c>
      <c r="B52" s="33">
        <f>('[1]S&amp;P 500 &amp; Raw Data'!B35-'[1]S&amp;P 500 &amp; Raw Data'!B34+'[1]S&amp;P 500 &amp; Raw Data'!C35)/'[1]S&amp;P 500 &amp; Raw Data'!B34</f>
        <v>0.12056457163557326</v>
      </c>
      <c r="C52" s="33">
        <f>'[1]Small Cap'!B33</f>
        <v>0.12740000000000001</v>
      </c>
      <c r="D52" s="33">
        <f>'[1]T. Bill rates'!C37</f>
        <v>3.3860159362549803E-2</v>
      </c>
      <c r="E52" s="33">
        <f>'[1]S&amp;P 500 &amp; Raw Data'!F35</f>
        <v>-2.6466312591385065E-2</v>
      </c>
      <c r="F52" s="33">
        <f>'[1]S&amp;P 500 &amp; Raw Data'!J35</f>
        <v>1.5743430895022732E-2</v>
      </c>
      <c r="G52" s="33">
        <f>'[1]Home Prices'!B35/'[1]Home Prices'!B34-1</f>
        <v>1.0952902519167917E-3</v>
      </c>
      <c r="H52" s="33">
        <f>'[1]Gold Prices'!B34/'[1]Gold Prices'!B33-1</f>
        <v>0</v>
      </c>
      <c r="I52" s="34">
        <f t="shared" si="7"/>
        <v>1608.9516371948275</v>
      </c>
      <c r="J52" s="35">
        <f t="shared" si="7"/>
        <v>4822.156540038759</v>
      </c>
      <c r="K52" s="35">
        <f t="shared" si="7"/>
        <v>149.84231343069726</v>
      </c>
      <c r="L52" s="35">
        <f t="shared" si="7"/>
        <v>214.55509182219998</v>
      </c>
      <c r="M52" s="35">
        <f t="shared" si="7"/>
        <v>440.94935006688075</v>
      </c>
      <c r="N52" s="35">
        <f t="shared" si="7"/>
        <v>259.31167148713371</v>
      </c>
      <c r="O52" s="35">
        <f t="shared" si="7"/>
        <v>170.05813953488368</v>
      </c>
      <c r="P52" s="67">
        <f t="shared" si="0"/>
        <v>8.6704412273023446E-2</v>
      </c>
      <c r="Q52" s="67">
        <f t="shared" si="1"/>
        <v>0.14703088422695831</v>
      </c>
      <c r="R52" s="68">
        <f>'Data Descriptors 2'!$C52-'Data Descriptors 2'!$B52</f>
        <v>6.8354283644267572E-3</v>
      </c>
      <c r="S52" s="68">
        <f t="shared" si="2"/>
        <v>0.10482114074055052</v>
      </c>
      <c r="T52" s="32"/>
      <c r="U52" s="69">
        <f>'[1]Inflation Rate'!C57</f>
        <v>1.7301E-2</v>
      </c>
      <c r="V52" s="51">
        <f t="shared" si="3"/>
        <v>0.1015073922423877</v>
      </c>
      <c r="W52" s="51">
        <f t="shared" si="3"/>
        <v>0.10822657207650432</v>
      </c>
      <c r="X52" s="51">
        <f t="shared" si="3"/>
        <v>1.6277541615067559E-2</v>
      </c>
      <c r="Y52" s="51">
        <f t="shared" si="3"/>
        <v>-4.3022972150214223E-2</v>
      </c>
      <c r="Z52" s="51">
        <f t="shared" si="3"/>
        <v>-1.5310798917697044E-3</v>
      </c>
      <c r="AA52" s="51">
        <f t="shared" si="3"/>
        <v>-1.5930103035466603E-2</v>
      </c>
      <c r="AB52" s="51">
        <f t="shared" si="3"/>
        <v>-1.7006765942430002E-2</v>
      </c>
      <c r="AC52" s="34">
        <f t="shared" si="8"/>
        <v>946.76413797747387</v>
      </c>
      <c r="AD52" s="36">
        <f t="shared" si="8"/>
        <v>2837.5277256822883</v>
      </c>
      <c r="AE52" s="35">
        <f t="shared" si="8"/>
        <v>88.172525157501696</v>
      </c>
      <c r="AF52" s="35">
        <f t="shared" si="8"/>
        <v>126.25181631430569</v>
      </c>
      <c r="AG52" s="35">
        <f t="shared" si="8"/>
        <v>259.47021753597033</v>
      </c>
      <c r="AH52" s="35">
        <f t="shared" si="8"/>
        <v>152.58817322256499</v>
      </c>
      <c r="AI52" s="35">
        <f t="shared" si="8"/>
        <v>100.06823335193945</v>
      </c>
      <c r="AJ52" s="51">
        <f>'Data Descriptors 2'!$V52-'Data Descriptors 2'!$X52</f>
        <v>8.5229850627320136E-2</v>
      </c>
      <c r="AK52" s="51">
        <f>'Data Descriptors 2'!$V52-'Data Descriptors 2'!$Y52</f>
        <v>0.14453036439260192</v>
      </c>
    </row>
    <row r="53" spans="1:37">
      <c r="A53" s="32">
        <v>1960</v>
      </c>
      <c r="B53" s="33">
        <f>('[1]S&amp;P 500 &amp; Raw Data'!B36-'[1]S&amp;P 500 &amp; Raw Data'!B35+'[1]S&amp;P 500 &amp; Raw Data'!C36)/'[1]S&amp;P 500 &amp; Raw Data'!B35</f>
        <v>3.36535314743695E-3</v>
      </c>
      <c r="C53" s="33">
        <f>'[1]Small Cap'!B34</f>
        <v>-3.49E-2</v>
      </c>
      <c r="D53" s="33">
        <f>'[1]T. Bill rates'!C38</f>
        <v>2.8729718875502006E-2</v>
      </c>
      <c r="E53" s="33">
        <f>'[1]S&amp;P 500 &amp; Raw Data'!F36</f>
        <v>0.11639503690963365</v>
      </c>
      <c r="F53" s="33">
        <f>'[1]S&amp;P 500 &amp; Raw Data'!J36</f>
        <v>6.6631871633034342E-2</v>
      </c>
      <c r="G53" s="33">
        <f>'[1]Home Prices'!B36/'[1]Home Prices'!B35-1</f>
        <v>7.6586433260392717E-3</v>
      </c>
      <c r="H53" s="33">
        <f>'[1]Gold Prices'!B35/'[1]Gold Prices'!B34-1</f>
        <v>4.8433048433049741E-3</v>
      </c>
      <c r="I53" s="34">
        <f t="shared" si="7"/>
        <v>1614.366327651135</v>
      </c>
      <c r="J53" s="35">
        <f t="shared" si="7"/>
        <v>4653.863276791406</v>
      </c>
      <c r="K53" s="35">
        <f t="shared" si="7"/>
        <v>154.14724097121606</v>
      </c>
      <c r="L53" s="35">
        <f t="shared" si="7"/>
        <v>239.52823965399477</v>
      </c>
      <c r="M53" s="35">
        <f t="shared" si="7"/>
        <v>470.33063055720703</v>
      </c>
      <c r="N53" s="35">
        <f t="shared" si="7"/>
        <v>261.29764708933271</v>
      </c>
      <c r="O53" s="35">
        <f t="shared" si="7"/>
        <v>170.8817829457364</v>
      </c>
      <c r="P53" s="67">
        <f t="shared" si="0"/>
        <v>-2.5364365728065056E-2</v>
      </c>
      <c r="Q53" s="67">
        <f t="shared" si="1"/>
        <v>-0.1130296837621967</v>
      </c>
      <c r="R53" s="68">
        <f>'Data Descriptors 2'!$C53-'Data Descriptors 2'!$B53</f>
        <v>-3.8265353147436953E-2</v>
      </c>
      <c r="S53" s="68">
        <f t="shared" si="2"/>
        <v>-6.3266518485597389E-2</v>
      </c>
      <c r="T53" s="68">
        <f t="shared" ref="T53:T114" si="9">((I53/100)^(1/(A53-$A$21+1)))-((L53/100)^(1/(A53-$A$21+1)))</f>
        <v>6.1119788031217315E-2</v>
      </c>
      <c r="U53" s="69">
        <f>'[1]Inflation Rate'!C58</f>
        <v>1.36054E-2</v>
      </c>
      <c r="V53" s="51">
        <f t="shared" ref="V53:AB84" si="10">(1+B53)/(1+$U53)-1</f>
        <v>-1.0102596979616685E-2</v>
      </c>
      <c r="W53" s="51">
        <f t="shared" si="10"/>
        <v>-4.7854322796622939E-2</v>
      </c>
      <c r="X53" s="51">
        <f t="shared" si="10"/>
        <v>1.4921308504771025E-2</v>
      </c>
      <c r="Y53" s="51">
        <f t="shared" si="10"/>
        <v>0.10140991445944691</v>
      </c>
      <c r="Z53" s="51">
        <f t="shared" si="10"/>
        <v>5.231470908998137E-2</v>
      </c>
      <c r="AA53" s="51">
        <f t="shared" si="10"/>
        <v>-5.8669346808539746E-3</v>
      </c>
      <c r="AB53" s="51">
        <f t="shared" si="10"/>
        <v>-8.6444835008723242E-3</v>
      </c>
      <c r="AC53" s="34">
        <f t="shared" si="8"/>
        <v>937.1993614567333</v>
      </c>
      <c r="AD53" s="36">
        <f t="shared" si="8"/>
        <v>2701.7397579531207</v>
      </c>
      <c r="AE53" s="35">
        <f t="shared" si="8"/>
        <v>89.488174607021463</v>
      </c>
      <c r="AF53" s="35">
        <f t="shared" si="8"/>
        <v>139.05500220708922</v>
      </c>
      <c r="AG53" s="35">
        <f t="shared" si="8"/>
        <v>273.04432648387882</v>
      </c>
      <c r="AH53" s="35">
        <f t="shared" si="8"/>
        <v>151.69294837719738</v>
      </c>
      <c r="AI53" s="35">
        <f t="shared" si="8"/>
        <v>99.203195159767176</v>
      </c>
      <c r="AJ53" s="51">
        <f>'Data Descriptors 2'!$V53-'Data Descriptors 2'!$X53</f>
        <v>-2.502390548438771E-2</v>
      </c>
      <c r="AK53" s="51">
        <f>'Data Descriptors 2'!$V53-'Data Descriptors 2'!$Y53</f>
        <v>-0.1115125114390636</v>
      </c>
    </row>
    <row r="54" spans="1:37">
      <c r="A54" s="32">
        <v>1961</v>
      </c>
      <c r="B54" s="33">
        <f>('[1]S&amp;P 500 &amp; Raw Data'!B37-'[1]S&amp;P 500 &amp; Raw Data'!B36+'[1]S&amp;P 500 &amp; Raw Data'!C37)/'[1]S&amp;P 500 &amp; Raw Data'!B36</f>
        <v>0.26637712958182752</v>
      </c>
      <c r="C54" s="33">
        <f>'[1]Small Cap'!B35</f>
        <v>0.29830000000000001</v>
      </c>
      <c r="D54" s="33">
        <f>'[1]T. Bill rates'!C39</f>
        <v>2.3524899598393576E-2</v>
      </c>
      <c r="E54" s="33">
        <f>'[1]S&amp;P 500 &amp; Raw Data'!F37</f>
        <v>2.0609208076323167E-2</v>
      </c>
      <c r="F54" s="33">
        <f>'[1]S&amp;P 500 &amp; Raw Data'!J37</f>
        <v>5.0999999999999997E-2</v>
      </c>
      <c r="G54" s="33">
        <f>'[1]Home Prices'!B37/'[1]Home Prices'!B36-1</f>
        <v>9.7719869706840434E-3</v>
      </c>
      <c r="H54" s="33">
        <f>'[1]Gold Prices'!B36/'[1]Gold Prices'!B35-1</f>
        <v>-5.6705415367175327E-4</v>
      </c>
      <c r="I54" s="34">
        <f t="shared" ref="I54:O69" si="11">I53*(1+B54)</f>
        <v>2044.3965961044005</v>
      </c>
      <c r="J54" s="35">
        <f t="shared" si="11"/>
        <v>6042.1106922582821</v>
      </c>
      <c r="K54" s="35">
        <f t="shared" si="11"/>
        <v>157.77353933843332</v>
      </c>
      <c r="L54" s="35">
        <f t="shared" si="11"/>
        <v>244.46472698517934</v>
      </c>
      <c r="M54" s="35">
        <f t="shared" si="11"/>
        <v>494.31749271562455</v>
      </c>
      <c r="N54" s="35">
        <f t="shared" si="11"/>
        <v>263.85104429216005</v>
      </c>
      <c r="O54" s="35">
        <f t="shared" si="11"/>
        <v>170.7848837209302</v>
      </c>
      <c r="P54" s="67">
        <f t="shared" si="0"/>
        <v>0.24285222998343395</v>
      </c>
      <c r="Q54" s="67">
        <f t="shared" si="1"/>
        <v>0.24576792150550436</v>
      </c>
      <c r="R54" s="68">
        <f>'Data Descriptors 2'!$C54-'Data Descriptors 2'!$B54</f>
        <v>3.1922870418172489E-2</v>
      </c>
      <c r="S54" s="68">
        <f t="shared" si="2"/>
        <v>0.21537712958182753</v>
      </c>
      <c r="T54" s="68">
        <f t="shared" si="9"/>
        <v>6.6173591829972622E-2</v>
      </c>
      <c r="U54" s="69">
        <f>'[1]Inflation Rate'!C59</f>
        <v>6.7113999999999993E-3</v>
      </c>
      <c r="V54" s="51">
        <f t="shared" si="10"/>
        <v>0.25793462712533866</v>
      </c>
      <c r="W54" s="51">
        <f t="shared" si="10"/>
        <v>0.28964467870335042</v>
      </c>
      <c r="X54" s="51">
        <f t="shared" si="10"/>
        <v>1.6701409756950891E-2</v>
      </c>
      <c r="Y54" s="51">
        <f t="shared" si="10"/>
        <v>1.3805156151329268E-2</v>
      </c>
      <c r="Z54" s="51">
        <f t="shared" si="10"/>
        <v>4.3993343077271208E-2</v>
      </c>
      <c r="AA54" s="51">
        <f t="shared" si="10"/>
        <v>3.0401830859212442E-3</v>
      </c>
      <c r="AB54" s="51">
        <f t="shared" si="10"/>
        <v>-7.2299311934599375E-3</v>
      </c>
      <c r="AC54" s="34">
        <f t="shared" ref="AC54:AI69" si="12">AC53*(1+V54)</f>
        <v>1178.9355292961814</v>
      </c>
      <c r="AD54" s="36">
        <f t="shared" si="12"/>
        <v>3484.2843020855203</v>
      </c>
      <c r="AE54" s="35">
        <f t="shared" si="12"/>
        <v>90.98275327953489</v>
      </c>
      <c r="AF54" s="35">
        <f t="shared" si="12"/>
        <v>140.97467822618151</v>
      </c>
      <c r="AG54" s="35">
        <f t="shared" si="12"/>
        <v>285.05645921418653</v>
      </c>
      <c r="AH54" s="35">
        <f t="shared" si="12"/>
        <v>152.15412271310726</v>
      </c>
      <c r="AI54" s="35">
        <f t="shared" si="12"/>
        <v>98.485962884590677</v>
      </c>
      <c r="AJ54" s="51">
        <f>'Data Descriptors 2'!$V54-'Data Descriptors 2'!$X54</f>
        <v>0.24123321736838776</v>
      </c>
      <c r="AK54" s="51">
        <f>'Data Descriptors 2'!$V54-'Data Descriptors 2'!$Y54</f>
        <v>0.24412947097400939</v>
      </c>
    </row>
    <row r="55" spans="1:37">
      <c r="A55" s="32">
        <v>1962</v>
      </c>
      <c r="B55" s="33">
        <f>('[1]S&amp;P 500 &amp; Raw Data'!B38-'[1]S&amp;P 500 &amp; Raw Data'!B37+'[1]S&amp;P 500 &amp; Raw Data'!C38)/'[1]S&amp;P 500 &amp; Raw Data'!B37</f>
        <v>-8.8114605171208879E-2</v>
      </c>
      <c r="C55" s="33">
        <f>'[1]Small Cap'!B36</f>
        <v>-9.7599999999999992E-2</v>
      </c>
      <c r="D55" s="33">
        <f>'[1]T. Bill rates'!C40</f>
        <v>2.7723694779116466E-2</v>
      </c>
      <c r="E55" s="33">
        <f>'[1]S&amp;P 500 &amp; Raw Data'!F38</f>
        <v>5.693544054008462E-2</v>
      </c>
      <c r="F55" s="33">
        <f>'[1]S&amp;P 500 &amp; Raw Data'!J38</f>
        <v>6.4953279936065755E-2</v>
      </c>
      <c r="G55" s="33">
        <f>'[1]Home Prices'!B38/'[1]Home Prices'!B37-1</f>
        <v>3.2258064516126339E-3</v>
      </c>
      <c r="H55" s="33">
        <f>'[1]Gold Prices'!B37/'[1]Gold Prices'!B36-1</f>
        <v>-5.6737588652489013E-4</v>
      </c>
      <c r="I55" s="34">
        <f t="shared" si="11"/>
        <v>1864.2553972252979</v>
      </c>
      <c r="J55" s="35">
        <f t="shared" si="11"/>
        <v>5452.4006886938732</v>
      </c>
      <c r="K55" s="35">
        <f t="shared" si="11"/>
        <v>162.14760478727297</v>
      </c>
      <c r="L55" s="35">
        <f t="shared" si="11"/>
        <v>258.38343391259201</v>
      </c>
      <c r="M55" s="35">
        <f t="shared" si="11"/>
        <v>526.42503519727666</v>
      </c>
      <c r="N55" s="35">
        <f t="shared" si="11"/>
        <v>264.70217669310244</v>
      </c>
      <c r="O55" s="35">
        <f t="shared" si="11"/>
        <v>170.68798449612399</v>
      </c>
      <c r="P55" s="67">
        <f t="shared" si="0"/>
        <v>-0.11583829995032535</v>
      </c>
      <c r="Q55" s="67">
        <f t="shared" si="1"/>
        <v>-0.14505004571129348</v>
      </c>
      <c r="R55" s="68">
        <f>'Data Descriptors 2'!$C55-'Data Descriptors 2'!$B55</f>
        <v>-9.4853948287911133E-3</v>
      </c>
      <c r="S55" s="68">
        <f t="shared" si="2"/>
        <v>-0.15306788510727465</v>
      </c>
      <c r="T55" s="68">
        <f t="shared" si="9"/>
        <v>5.9683465378989942E-2</v>
      </c>
      <c r="U55" s="69">
        <f>'[1]Inflation Rate'!C60</f>
        <v>1.3333299999999999E-2</v>
      </c>
      <c r="V55" s="51">
        <f t="shared" si="10"/>
        <v>-0.10011306760688599</v>
      </c>
      <c r="W55" s="51">
        <f t="shared" si="10"/>
        <v>-0.10947365491689653</v>
      </c>
      <c r="X55" s="51">
        <f t="shared" si="10"/>
        <v>1.4201047946530876E-2</v>
      </c>
      <c r="Y55" s="51">
        <f t="shared" si="10"/>
        <v>4.302842957996611E-2</v>
      </c>
      <c r="Z55" s="51">
        <f t="shared" si="10"/>
        <v>5.0940771349432312E-2</v>
      </c>
      <c r="AA55" s="51">
        <f t="shared" si="10"/>
        <v>-9.9745005403328868E-3</v>
      </c>
      <c r="AB55" s="51">
        <f t="shared" si="10"/>
        <v>-1.3717772707681597E-2</v>
      </c>
      <c r="AC55" s="34">
        <f t="shared" si="12"/>
        <v>1060.9086769475928</v>
      </c>
      <c r="AD55" s="36">
        <f t="shared" si="12"/>
        <v>3102.8469647666502</v>
      </c>
      <c r="AE55" s="35">
        <f t="shared" si="12"/>
        <v>92.274803721164957</v>
      </c>
      <c r="AF55" s="35">
        <f t="shared" si="12"/>
        <v>147.04059724079514</v>
      </c>
      <c r="AG55" s="35">
        <f t="shared" si="12"/>
        <v>299.57745512469518</v>
      </c>
      <c r="AH55" s="35">
        <f t="shared" si="12"/>
        <v>150.6364613338915</v>
      </c>
      <c r="AI55" s="35">
        <f t="shared" si="12"/>
        <v>97.134954830842702</v>
      </c>
      <c r="AJ55" s="51">
        <f>'Data Descriptors 2'!$V55-'Data Descriptors 2'!$X55</f>
        <v>-0.11431411555341686</v>
      </c>
      <c r="AK55" s="51">
        <f>'Data Descriptors 2'!$V55-'Data Descriptors 2'!$Y55</f>
        <v>-0.1431414971868521</v>
      </c>
    </row>
    <row r="56" spans="1:37">
      <c r="A56" s="32">
        <v>1963</v>
      </c>
      <c r="B56" s="33">
        <f>('[1]S&amp;P 500 &amp; Raw Data'!B39-'[1]S&amp;P 500 &amp; Raw Data'!B38+'[1]S&amp;P 500 &amp; Raw Data'!C39)/'[1]S&amp;P 500 &amp; Raw Data'!B38</f>
        <v>0.22611927099841514</v>
      </c>
      <c r="C56" s="33">
        <f>'[1]Small Cap'!B37</f>
        <v>0.1993</v>
      </c>
      <c r="D56" s="33">
        <f>'[1]T. Bill rates'!C41</f>
        <v>3.1560240963855422E-2</v>
      </c>
      <c r="E56" s="33">
        <f>'[1]S&amp;P 500 &amp; Raw Data'!F39</f>
        <v>1.6841620739546127E-2</v>
      </c>
      <c r="F56" s="33">
        <f>'[1]S&amp;P 500 &amp; Raw Data'!J39</f>
        <v>5.4644805711862345E-2</v>
      </c>
      <c r="G56" s="33">
        <f>'[1]Home Prices'!B39/'[1]Home Prices'!B38-1</f>
        <v>2.143622722400873E-2</v>
      </c>
      <c r="H56" s="33">
        <f>'[1]Gold Prices'!B38/'[1]Gold Prices'!B37-1</f>
        <v>-3.9738858927048648E-3</v>
      </c>
      <c r="I56" s="34">
        <f t="shared" si="11"/>
        <v>2285.7994686007432</v>
      </c>
      <c r="J56" s="35">
        <f t="shared" si="11"/>
        <v>6539.0641459505623</v>
      </c>
      <c r="K56" s="35">
        <f t="shared" si="11"/>
        <v>167.2650222660713</v>
      </c>
      <c r="L56" s="35">
        <f t="shared" si="11"/>
        <v>262.73502971192949</v>
      </c>
      <c r="M56" s="35">
        <f t="shared" si="11"/>
        <v>555.19142896749213</v>
      </c>
      <c r="N56" s="35">
        <f t="shared" si="11"/>
        <v>270.37639269938552</v>
      </c>
      <c r="O56" s="35">
        <f t="shared" si="11"/>
        <v>170.00968992248062</v>
      </c>
      <c r="P56" s="67">
        <f t="shared" si="0"/>
        <v>0.19455903003455971</v>
      </c>
      <c r="Q56" s="67">
        <f t="shared" si="1"/>
        <v>0.20927765025886902</v>
      </c>
      <c r="R56" s="68">
        <f>'Data Descriptors 2'!$C56-'Data Descriptors 2'!$B56</f>
        <v>-2.6819270998415135E-2</v>
      </c>
      <c r="S56" s="68">
        <f t="shared" si="2"/>
        <v>0.1714744652865528</v>
      </c>
      <c r="T56" s="68">
        <f t="shared" si="9"/>
        <v>6.3618993911514821E-2</v>
      </c>
      <c r="U56" s="69">
        <f>'[1]Inflation Rate'!C61</f>
        <v>1.6447400000000001E-2</v>
      </c>
      <c r="V56" s="51">
        <f t="shared" si="10"/>
        <v>0.20627911586808634</v>
      </c>
      <c r="W56" s="51">
        <f t="shared" si="10"/>
        <v>0.17989381447579067</v>
      </c>
      <c r="X56" s="51">
        <f t="shared" si="10"/>
        <v>1.4868296149761706E-2</v>
      </c>
      <c r="Y56" s="51">
        <f t="shared" si="10"/>
        <v>3.8784175112849262E-4</v>
      </c>
      <c r="Z56" s="51">
        <f t="shared" si="10"/>
        <v>3.7579323545775312E-2</v>
      </c>
      <c r="AA56" s="51">
        <f t="shared" si="10"/>
        <v>4.9081017119121384E-3</v>
      </c>
      <c r="AB56" s="51">
        <f t="shared" si="10"/>
        <v>-2.0090843749223986E-2</v>
      </c>
      <c r="AC56" s="34">
        <f t="shared" si="12"/>
        <v>1279.7519808451234</v>
      </c>
      <c r="AD56" s="36">
        <f t="shared" si="12"/>
        <v>3661.0299409931522</v>
      </c>
      <c r="AE56" s="35">
        <f t="shared" si="12"/>
        <v>93.64677283005237</v>
      </c>
      <c r="AF56" s="35">
        <f t="shared" si="12"/>
        <v>147.09762572351599</v>
      </c>
      <c r="AG56" s="35">
        <f t="shared" si="12"/>
        <v>310.83537323784606</v>
      </c>
      <c r="AH56" s="35">
        <f t="shared" si="12"/>
        <v>151.37580040764075</v>
      </c>
      <c r="AI56" s="35">
        <f t="shared" si="12"/>
        <v>95.183431630748316</v>
      </c>
      <c r="AJ56" s="51">
        <f>'Data Descriptors 2'!$V56-'Data Descriptors 2'!$X56</f>
        <v>0.19141081971832463</v>
      </c>
      <c r="AK56" s="51">
        <f>'Data Descriptors 2'!$V56-'Data Descriptors 2'!$Y56</f>
        <v>0.20589127411695785</v>
      </c>
    </row>
    <row r="57" spans="1:37">
      <c r="A57" s="32">
        <v>1964</v>
      </c>
      <c r="B57" s="33">
        <f>('[1]S&amp;P 500 &amp; Raw Data'!B40-'[1]S&amp;P 500 &amp; Raw Data'!B39+'[1]S&amp;P 500 &amp; Raw Data'!C40)/'[1]S&amp;P 500 &amp; Raw Data'!B39</f>
        <v>0.16415455878432425</v>
      </c>
      <c r="C57" s="33">
        <f>'[1]Small Cap'!B38</f>
        <v>0.23149999999999998</v>
      </c>
      <c r="D57" s="33">
        <f>'[1]T. Bill rates'!C42</f>
        <v>3.5457370517928286E-2</v>
      </c>
      <c r="E57" s="33">
        <f>'[1]S&amp;P 500 &amp; Raw Data'!F40</f>
        <v>3.7280648911540815E-2</v>
      </c>
      <c r="F57" s="33">
        <f>'[1]S&amp;P 500 &amp; Raw Data'!J40</f>
        <v>5.1617392722850271E-2</v>
      </c>
      <c r="G57" s="33">
        <f>'[1]Home Prices'!B40/'[1]Home Prices'!B39-1</f>
        <v>1.2591815320041944E-2</v>
      </c>
      <c r="H57" s="33">
        <f>'[1]Gold Prices'!B39/'[1]Gold Prices'!B38-1</f>
        <v>2.8498147620403813E-4</v>
      </c>
      <c r="I57" s="34">
        <f t="shared" si="11"/>
        <v>2661.0238718383412</v>
      </c>
      <c r="J57" s="35">
        <f t="shared" si="11"/>
        <v>8052.8574957381179</v>
      </c>
      <c r="K57" s="35">
        <f t="shared" si="11"/>
        <v>173.1958001352489</v>
      </c>
      <c r="L57" s="35">
        <f t="shared" si="11"/>
        <v>272.52996211138321</v>
      </c>
      <c r="M57" s="35">
        <f t="shared" si="11"/>
        <v>583.84896299286754</v>
      </c>
      <c r="N57" s="35">
        <f t="shared" si="11"/>
        <v>273.78092230315531</v>
      </c>
      <c r="O57" s="35">
        <f t="shared" si="11"/>
        <v>170.05813953488371</v>
      </c>
      <c r="P57" s="67">
        <f t="shared" si="0"/>
        <v>0.12869718826639598</v>
      </c>
      <c r="Q57" s="67">
        <f t="shared" si="1"/>
        <v>0.12687390987278344</v>
      </c>
      <c r="R57" s="68">
        <f>'Data Descriptors 2'!$C57-'Data Descriptors 2'!$B57</f>
        <v>6.7345441215675733E-2</v>
      </c>
      <c r="S57" s="68">
        <f t="shared" si="2"/>
        <v>0.11253716606147399</v>
      </c>
      <c r="T57" s="68">
        <f t="shared" si="9"/>
        <v>6.5267777442658215E-2</v>
      </c>
      <c r="U57" s="69">
        <f>'[1]Inflation Rate'!C62</f>
        <v>9.7087000000000007E-3</v>
      </c>
      <c r="V57" s="51">
        <f t="shared" si="10"/>
        <v>0.15296080818588997</v>
      </c>
      <c r="W57" s="51">
        <f t="shared" si="10"/>
        <v>0.21965869958335515</v>
      </c>
      <c r="X57" s="51">
        <f t="shared" si="10"/>
        <v>2.5501088103854208E-2</v>
      </c>
      <c r="Y57" s="51">
        <f t="shared" si="10"/>
        <v>2.7306835042167021E-2</v>
      </c>
      <c r="Z57" s="51">
        <f t="shared" si="10"/>
        <v>4.1505726080056871E-2</v>
      </c>
      <c r="AA57" s="51">
        <f t="shared" si="10"/>
        <v>2.8553931644264008E-3</v>
      </c>
      <c r="AB57" s="51">
        <f t="shared" si="10"/>
        <v>-9.333106195674068E-3</v>
      </c>
      <c r="AC57" s="34">
        <f t="shared" si="12"/>
        <v>1475.5038781126871</v>
      </c>
      <c r="AD57" s="36">
        <f t="shared" si="12"/>
        <v>4465.2070169674353</v>
      </c>
      <c r="AE57" s="35">
        <f t="shared" si="12"/>
        <v>96.034867434633156</v>
      </c>
      <c r="AF57" s="35">
        <f t="shared" si="12"/>
        <v>151.11439632424248</v>
      </c>
      <c r="AG57" s="35">
        <f t="shared" si="12"/>
        <v>323.73682109544836</v>
      </c>
      <c r="AH57" s="35">
        <f t="shared" si="12"/>
        <v>151.8080378333843</v>
      </c>
      <c r="AI57" s="35">
        <f t="shared" si="12"/>
        <v>94.295074555269863</v>
      </c>
      <c r="AJ57" s="51">
        <f>'Data Descriptors 2'!$V57-'Data Descriptors 2'!$X57</f>
        <v>0.12745972008203577</v>
      </c>
      <c r="AK57" s="51">
        <f>'Data Descriptors 2'!$V57-'Data Descriptors 2'!$Y57</f>
        <v>0.12565397314372295</v>
      </c>
    </row>
    <row r="58" spans="1:37">
      <c r="A58" s="32">
        <v>1965</v>
      </c>
      <c r="B58" s="33">
        <f>('[1]S&amp;P 500 &amp; Raw Data'!B41-'[1]S&amp;P 500 &amp; Raw Data'!B40+'[1]S&amp;P 500 &amp; Raw Data'!C41)/'[1]S&amp;P 500 &amp; Raw Data'!B40</f>
        <v>0.12399242477876114</v>
      </c>
      <c r="C58" s="33">
        <f>'[1]Small Cap'!B39</f>
        <v>0.45659999999999995</v>
      </c>
      <c r="D58" s="33">
        <f>'[1]T. Bill rates'!C43</f>
        <v>3.9490763052208833E-2</v>
      </c>
      <c r="E58" s="33">
        <f>'[1]S&amp;P 500 &amp; Raw Data'!F41</f>
        <v>7.1885509359262342E-3</v>
      </c>
      <c r="F58" s="33">
        <f>'[1]S&amp;P 500 &amp; Raw Data'!J41</f>
        <v>3.1900094622538809E-2</v>
      </c>
      <c r="G58" s="33">
        <f>'[1]Home Prices'!B41/'[1]Home Prices'!B40-1</f>
        <v>1.6580310880829119E-2</v>
      </c>
      <c r="H58" s="33">
        <f>'[1]Gold Prices'!B40/'[1]Gold Prices'!B39-1</f>
        <v>5.6980056980049376E-4</v>
      </c>
      <c r="I58" s="34">
        <f t="shared" si="11"/>
        <v>2990.9706741017444</v>
      </c>
      <c r="J58" s="35">
        <f t="shared" si="11"/>
        <v>11729.792228292141</v>
      </c>
      <c r="K58" s="35">
        <f t="shared" si="11"/>
        <v>180.03543444002773</v>
      </c>
      <c r="L58" s="35">
        <f t="shared" si="11"/>
        <v>274.48905762558695</v>
      </c>
      <c r="M58" s="35">
        <f t="shared" si="11"/>
        <v>602.47380015761109</v>
      </c>
      <c r="N58" s="35">
        <f t="shared" si="11"/>
        <v>278.32029510818177</v>
      </c>
      <c r="O58" s="35">
        <f t="shared" si="11"/>
        <v>170.15503875968989</v>
      </c>
      <c r="P58" s="67">
        <f t="shared" si="0"/>
        <v>8.450166172655231E-2</v>
      </c>
      <c r="Q58" s="67">
        <f t="shared" si="1"/>
        <v>0.11680387384283492</v>
      </c>
      <c r="R58" s="68">
        <f>'Data Descriptors 2'!$C58-'Data Descriptors 2'!$B58</f>
        <v>0.33260757522123879</v>
      </c>
      <c r="S58" s="68">
        <f t="shared" si="2"/>
        <v>9.2092330156222341E-2</v>
      </c>
      <c r="T58" s="68">
        <f t="shared" si="9"/>
        <v>6.6617941689874449E-2</v>
      </c>
      <c r="U58" s="69">
        <f>'[1]Inflation Rate'!C63</f>
        <v>1.9230799999999999E-2</v>
      </c>
      <c r="V58" s="51">
        <f t="shared" si="10"/>
        <v>0.10278498724603002</v>
      </c>
      <c r="W58" s="51">
        <f t="shared" si="10"/>
        <v>0.42911693798892236</v>
      </c>
      <c r="X58" s="51">
        <f t="shared" si="10"/>
        <v>1.9877698998312043E-2</v>
      </c>
      <c r="Y58" s="51">
        <f t="shared" si="10"/>
        <v>-1.1815036460901651E-2</v>
      </c>
      <c r="Z58" s="51">
        <f t="shared" si="10"/>
        <v>1.2430250952520927E-2</v>
      </c>
      <c r="AA58" s="51">
        <f t="shared" si="10"/>
        <v>-2.6004798120022876E-3</v>
      </c>
      <c r="AB58" s="51">
        <f t="shared" si="10"/>
        <v>-1.8308904548606231E-2</v>
      </c>
      <c r="AC58" s="34">
        <f t="shared" si="12"/>
        <v>1627.1635254059674</v>
      </c>
      <c r="AD58" s="36">
        <f t="shared" si="12"/>
        <v>6381.3029795751509</v>
      </c>
      <c r="AE58" s="35">
        <f t="shared" si="12"/>
        <v>97.943819622841588</v>
      </c>
      <c r="AF58" s="35">
        <f t="shared" si="12"/>
        <v>149.32897422190442</v>
      </c>
      <c r="AG58" s="35">
        <f t="shared" si="12"/>
        <v>327.76095102423614</v>
      </c>
      <c r="AH58" s="35">
        <f t="shared" si="12"/>
        <v>151.41326409569891</v>
      </c>
      <c r="AI58" s="35">
        <f t="shared" si="12"/>
        <v>92.568635035833722</v>
      </c>
      <c r="AJ58" s="51">
        <f>'Data Descriptors 2'!$V58-'Data Descriptors 2'!$X58</f>
        <v>8.2907288247717981E-2</v>
      </c>
      <c r="AK58" s="51">
        <f>'Data Descriptors 2'!$V58-'Data Descriptors 2'!$Y58</f>
        <v>0.11460002370693168</v>
      </c>
    </row>
    <row r="59" spans="1:37">
      <c r="A59" s="32">
        <v>1966</v>
      </c>
      <c r="B59" s="33">
        <f>('[1]S&amp;P 500 &amp; Raw Data'!B42-'[1]S&amp;P 500 &amp; Raw Data'!B41+'[1]S&amp;P 500 &amp; Raw Data'!C42)/'[1]S&amp;P 500 &amp; Raw Data'!B41</f>
        <v>-9.9709542356377898E-2</v>
      </c>
      <c r="C59" s="33">
        <f>'[1]Small Cap'!B40</f>
        <v>-9.4899999999999998E-2</v>
      </c>
      <c r="D59" s="33">
        <f>'[1]T. Bill rates'!C44</f>
        <v>4.8557199999999995E-2</v>
      </c>
      <c r="E59" s="33">
        <f>'[1]S&amp;P 500 &amp; Raw Data'!F42</f>
        <v>2.9079409324299622E-2</v>
      </c>
      <c r="F59" s="33">
        <f>'[1]S&amp;P 500 &amp; Raw Data'!J42</f>
        <v>-3.4453615975776369E-2</v>
      </c>
      <c r="G59" s="33">
        <f>'[1]Home Prices'!B42/'[1]Home Prices'!B41-1</f>
        <v>1.2232415902140525E-2</v>
      </c>
      <c r="H59" s="33">
        <f>'[1]Gold Prices'!B41/'[1]Gold Prices'!B40-1</f>
        <v>2.8473804100248579E-4</v>
      </c>
      <c r="I59" s="34">
        <f t="shared" si="11"/>
        <v>2692.7423569857124</v>
      </c>
      <c r="J59" s="35">
        <f t="shared" si="11"/>
        <v>10616.634945827216</v>
      </c>
      <c r="K59" s="35">
        <f t="shared" si="11"/>
        <v>188.77745103721907</v>
      </c>
      <c r="L59" s="35">
        <f t="shared" si="11"/>
        <v>282.47103728732264</v>
      </c>
      <c r="M59" s="35">
        <f t="shared" si="11"/>
        <v>581.71639921151416</v>
      </c>
      <c r="N59" s="35">
        <f t="shared" si="11"/>
        <v>281.72482471195156</v>
      </c>
      <c r="O59" s="35">
        <f t="shared" si="11"/>
        <v>170.20348837209303</v>
      </c>
      <c r="P59" s="67">
        <f t="shared" si="0"/>
        <v>-0.14826674235637788</v>
      </c>
      <c r="Q59" s="67">
        <f t="shared" si="1"/>
        <v>-0.12878895168067753</v>
      </c>
      <c r="R59" s="68">
        <f>'Data Descriptors 2'!$C59-'Data Descriptors 2'!$B59</f>
        <v>4.8095423563778994E-3</v>
      </c>
      <c r="S59" s="68">
        <f t="shared" si="2"/>
        <v>-6.5255926380601528E-2</v>
      </c>
      <c r="T59" s="68">
        <f t="shared" si="9"/>
        <v>6.1123719679815336E-2</v>
      </c>
      <c r="U59" s="69">
        <f>'[1]Inflation Rate'!C64</f>
        <v>3.4591200000000003E-2</v>
      </c>
      <c r="V59" s="51">
        <f t="shared" si="10"/>
        <v>-0.12981044334842384</v>
      </c>
      <c r="W59" s="51">
        <f t="shared" si="10"/>
        <v>-0.12516170638219226</v>
      </c>
      <c r="X59" s="51">
        <f t="shared" si="10"/>
        <v>1.3499051606083778E-2</v>
      </c>
      <c r="Y59" s="51">
        <f t="shared" si="10"/>
        <v>-5.3275058551631727E-3</v>
      </c>
      <c r="Z59" s="51">
        <f t="shared" si="10"/>
        <v>-6.6736326363278864E-2</v>
      </c>
      <c r="AA59" s="51">
        <f t="shared" si="10"/>
        <v>-2.1611225861827732E-2</v>
      </c>
      <c r="AB59" s="51">
        <f t="shared" si="10"/>
        <v>-3.3159437233757139E-2</v>
      </c>
      <c r="AC59" s="34">
        <f t="shared" si="12"/>
        <v>1415.9407067726345</v>
      </c>
      <c r="AD59" s="36">
        <f t="shared" si="12"/>
        <v>5582.6082097097569</v>
      </c>
      <c r="AE59" s="35">
        <f t="shared" si="12"/>
        <v>99.265968298427282</v>
      </c>
      <c r="AF59" s="35">
        <f t="shared" si="12"/>
        <v>148.5334232373917</v>
      </c>
      <c r="AG59" s="35">
        <f t="shared" si="12"/>
        <v>305.88738922754408</v>
      </c>
      <c r="AH59" s="35">
        <f t="shared" si="12"/>
        <v>148.1410378468502</v>
      </c>
      <c r="AI59" s="35">
        <f t="shared" si="12"/>
        <v>89.499111192548426</v>
      </c>
      <c r="AJ59" s="51">
        <f>'Data Descriptors 2'!$V59-'Data Descriptors 2'!$X59</f>
        <v>-0.14330949495450762</v>
      </c>
      <c r="AK59" s="51">
        <f>'Data Descriptors 2'!$V59-'Data Descriptors 2'!$Y59</f>
        <v>-0.12448293749326067</v>
      </c>
    </row>
    <row r="60" spans="1:37">
      <c r="A60" s="32">
        <v>1967</v>
      </c>
      <c r="B60" s="33">
        <f>('[1]S&amp;P 500 &amp; Raw Data'!B43-'[1]S&amp;P 500 &amp; Raw Data'!B42+'[1]S&amp;P 500 &amp; Raw Data'!C43)/'[1]S&amp;P 500 &amp; Raw Data'!B42</f>
        <v>0.23802966513133328</v>
      </c>
      <c r="C60" s="33">
        <f>'[1]Small Cap'!B41</f>
        <v>1.1679000000000002</v>
      </c>
      <c r="D60" s="33">
        <f>'[1]T. Bill rates'!C45</f>
        <v>4.2934538152610439E-2</v>
      </c>
      <c r="E60" s="33">
        <f>'[1]S&amp;P 500 &amp; Raw Data'!F43</f>
        <v>-1.5806209932824666E-2</v>
      </c>
      <c r="F60" s="33">
        <f>'[1]S&amp;P 500 &amp; Raw Data'!J43</f>
        <v>8.9522661484468247E-3</v>
      </c>
      <c r="G60" s="33">
        <f>'[1]Home Prices'!B43/'[1]Home Prices'!B42-1</f>
        <v>2.3162134944612278E-2</v>
      </c>
      <c r="H60" s="33">
        <f>'[1]Gold Prices'!B42/'[1]Gold Prices'!B41-1</f>
        <v>-5.1238257899230977E-3</v>
      </c>
      <c r="I60" s="34">
        <f t="shared" si="11"/>
        <v>3333.6949185039784</v>
      </c>
      <c r="J60" s="35">
        <f t="shared" si="11"/>
        <v>23015.802899058825</v>
      </c>
      <c r="K60" s="35">
        <f t="shared" si="11"/>
        <v>196.8825237111291</v>
      </c>
      <c r="L60" s="35">
        <f t="shared" si="11"/>
        <v>278.0062407720165</v>
      </c>
      <c r="M60" s="35">
        <f t="shared" si="11"/>
        <v>586.92407924017186</v>
      </c>
      <c r="N60" s="35">
        <f t="shared" si="11"/>
        <v>288.25017311917702</v>
      </c>
      <c r="O60" s="35">
        <f t="shared" si="11"/>
        <v>169.33139534883722</v>
      </c>
      <c r="P60" s="67">
        <f t="shared" si="0"/>
        <v>0.19509512697872283</v>
      </c>
      <c r="Q60" s="67">
        <f t="shared" si="1"/>
        <v>0.25383587506415795</v>
      </c>
      <c r="R60" s="68">
        <f>'Data Descriptors 2'!$C60-'Data Descriptors 2'!$B60</f>
        <v>0.92987033486866688</v>
      </c>
      <c r="S60" s="68">
        <f t="shared" si="2"/>
        <v>0.22907739898288645</v>
      </c>
      <c r="T60" s="68">
        <f t="shared" si="9"/>
        <v>6.5732838776739522E-2</v>
      </c>
      <c r="U60" s="69">
        <f>'[1]Inflation Rate'!C65</f>
        <v>3.0395099999999998E-2</v>
      </c>
      <c r="V60" s="51">
        <f t="shared" si="10"/>
        <v>0.20150965889815775</v>
      </c>
      <c r="W60" s="51">
        <f t="shared" si="10"/>
        <v>1.1039502225893743</v>
      </c>
      <c r="X60" s="51">
        <f t="shared" si="10"/>
        <v>1.2169543656225246E-2</v>
      </c>
      <c r="Y60" s="51">
        <f t="shared" si="10"/>
        <v>-4.4838441033759446E-2</v>
      </c>
      <c r="Z60" s="51">
        <f t="shared" si="10"/>
        <v>-2.0810302622317534E-2</v>
      </c>
      <c r="AA60" s="51">
        <f t="shared" si="10"/>
        <v>-7.0196035048960548E-3</v>
      </c>
      <c r="AB60" s="51">
        <f t="shared" si="10"/>
        <v>-3.4471171097303466E-2</v>
      </c>
      <c r="AC60" s="34">
        <f t="shared" si="12"/>
        <v>1701.2664356144044</v>
      </c>
      <c r="AD60" s="36">
        <f t="shared" si="12"/>
        <v>11745.52978544811</v>
      </c>
      <c r="AE60" s="35">
        <f t="shared" si="12"/>
        <v>100.47398983321247</v>
      </c>
      <c r="AF60" s="35">
        <f t="shared" si="12"/>
        <v>141.87341609801948</v>
      </c>
      <c r="AG60" s="35">
        <f t="shared" si="12"/>
        <v>299.52178008936824</v>
      </c>
      <c r="AH60" s="35">
        <f t="shared" si="12"/>
        <v>147.10114649836152</v>
      </c>
      <c r="AI60" s="35">
        <f t="shared" si="12"/>
        <v>86.413972017573499</v>
      </c>
      <c r="AJ60" s="51">
        <f>'Data Descriptors 2'!$V60-'Data Descriptors 2'!$X60</f>
        <v>0.18934011524193251</v>
      </c>
      <c r="AK60" s="51">
        <f>'Data Descriptors 2'!$V60-'Data Descriptors 2'!$Y60</f>
        <v>0.2463480999319172</v>
      </c>
    </row>
    <row r="61" spans="1:37">
      <c r="A61" s="32">
        <v>1968</v>
      </c>
      <c r="B61" s="33">
        <f>('[1]S&amp;P 500 &amp; Raw Data'!B44-'[1]S&amp;P 500 &amp; Raw Data'!B43+'[1]S&amp;P 500 &amp; Raw Data'!C44)/'[1]S&amp;P 500 &amp; Raw Data'!B43</f>
        <v>0.10814862651601535</v>
      </c>
      <c r="C61" s="33">
        <f>'[1]Small Cap'!B42</f>
        <v>0.60699999999999998</v>
      </c>
      <c r="D61" s="33">
        <f>'[1]T. Bill rates'!C46</f>
        <v>5.3376E-2</v>
      </c>
      <c r="E61" s="33">
        <f>'[1]S&amp;P 500 &amp; Raw Data'!F44</f>
        <v>3.2746196950768365E-2</v>
      </c>
      <c r="F61" s="33">
        <f>'[1]S&amp;P 500 &amp; Raw Data'!J44</f>
        <v>4.845146224309746E-2</v>
      </c>
      <c r="G61" s="33">
        <f>'[1]Home Prices'!B44/'[1]Home Prices'!B43-1</f>
        <v>4.1338582677165281E-2</v>
      </c>
      <c r="H61" s="33">
        <f>'[1]Gold Prices'!B43/'[1]Gold Prices'!B42-1</f>
        <v>0.12474964234620889</v>
      </c>
      <c r="I61" s="34">
        <f t="shared" si="11"/>
        <v>3694.2294451636035</v>
      </c>
      <c r="J61" s="35">
        <f>J60*(1+C61)</f>
        <v>36986.395258787532</v>
      </c>
      <c r="K61" s="35">
        <f t="shared" si="11"/>
        <v>207.39132529673435</v>
      </c>
      <c r="L61" s="35">
        <f t="shared" si="11"/>
        <v>287.10988788587969</v>
      </c>
      <c r="M61" s="35">
        <f t="shared" si="11"/>
        <v>615.36140910504173</v>
      </c>
      <c r="N61" s="35">
        <f t="shared" si="11"/>
        <v>300.16602673237134</v>
      </c>
      <c r="O61" s="35">
        <f t="shared" si="11"/>
        <v>190.45542635658916</v>
      </c>
      <c r="P61" s="67">
        <f t="shared" si="0"/>
        <v>5.4772626516015353E-2</v>
      </c>
      <c r="Q61" s="67">
        <f t="shared" si="1"/>
        <v>7.5402429565246981E-2</v>
      </c>
      <c r="R61" s="68">
        <f>'Data Descriptors 2'!$C61-'Data Descriptors 2'!$B61</f>
        <v>0.49885137348398462</v>
      </c>
      <c r="S61" s="68">
        <f t="shared" si="2"/>
        <v>5.9697164272917894E-2</v>
      </c>
      <c r="T61" s="68">
        <f t="shared" si="9"/>
        <v>6.596627828748769E-2</v>
      </c>
      <c r="U61" s="69">
        <f>'[1]Inflation Rate'!C66</f>
        <v>4.7197599999999999E-2</v>
      </c>
      <c r="V61" s="51">
        <f t="shared" si="10"/>
        <v>5.8203940226768447E-2</v>
      </c>
      <c r="W61" s="51">
        <f t="shared" si="10"/>
        <v>0.53457188977514836</v>
      </c>
      <c r="X61" s="51">
        <f t="shared" si="10"/>
        <v>5.8999371274341961E-3</v>
      </c>
      <c r="Y61" s="51">
        <f t="shared" si="10"/>
        <v>-1.3800072736255053E-2</v>
      </c>
      <c r="Z61" s="51">
        <f t="shared" si="10"/>
        <v>1.1973501878703718E-3</v>
      </c>
      <c r="AA61" s="51">
        <f t="shared" si="10"/>
        <v>-5.5949491507951699E-3</v>
      </c>
      <c r="AB61" s="51">
        <f t="shared" si="10"/>
        <v>7.4056741866299847E-2</v>
      </c>
      <c r="AC61" s="34">
        <f t="shared" si="12"/>
        <v>1800.2868455427126</v>
      </c>
      <c r="AD61" s="36">
        <f t="shared" si="12"/>
        <v>18024.359839265398</v>
      </c>
      <c r="AE61" s="35">
        <f t="shared" si="12"/>
        <v>101.06678005617088</v>
      </c>
      <c r="AF61" s="35">
        <f t="shared" si="12"/>
        <v>139.91555263652583</v>
      </c>
      <c r="AG61" s="35">
        <f t="shared" si="12"/>
        <v>299.88041254902953</v>
      </c>
      <c r="AH61" s="35">
        <f t="shared" si="12"/>
        <v>146.27812306367952</v>
      </c>
      <c r="AI61" s="35">
        <f t="shared" si="12"/>
        <v>92.813509236920595</v>
      </c>
      <c r="AJ61" s="51">
        <f>'Data Descriptors 2'!$V61-'Data Descriptors 2'!$X61</f>
        <v>5.2304003099334251E-2</v>
      </c>
      <c r="AK61" s="51">
        <f>'Data Descriptors 2'!$V61-'Data Descriptors 2'!$Y61</f>
        <v>7.20040129630235E-2</v>
      </c>
    </row>
    <row r="62" spans="1:37">
      <c r="A62" s="32">
        <v>1969</v>
      </c>
      <c r="B62" s="33">
        <f>('[1]S&amp;P 500 &amp; Raw Data'!B45-'[1]S&amp;P 500 &amp; Raw Data'!B44+'[1]S&amp;P 500 &amp; Raw Data'!C45)/'[1]S&amp;P 500 &amp; Raw Data'!B44</f>
        <v>-8.2413710764490639E-2</v>
      </c>
      <c r="C62" s="33">
        <f>'[1]Small Cap'!B43</f>
        <v>-0.33049999999999996</v>
      </c>
      <c r="D62" s="33">
        <f>'[1]T. Bill rates'!C47</f>
        <v>6.668467741935484E-2</v>
      </c>
      <c r="E62" s="33">
        <f>'[1]S&amp;P 500 &amp; Raw Data'!F45</f>
        <v>-5.0140493209926106E-2</v>
      </c>
      <c r="F62" s="33">
        <f>'[1]S&amp;P 500 &amp; Raw Data'!J45</f>
        <v>-2.0251642507921469E-2</v>
      </c>
      <c r="G62" s="33">
        <f>'[1]Home Prices'!B45/'[1]Home Prices'!B44-1</f>
        <v>6.9943289224952743E-2</v>
      </c>
      <c r="H62" s="33">
        <f>'[1]Gold Prices'!B44/'[1]Gold Prices'!B43-1</f>
        <v>5.0114474688374377E-2</v>
      </c>
      <c r="I62" s="34">
        <f t="shared" si="11"/>
        <v>3389.7742881722256</v>
      </c>
      <c r="J62" s="35">
        <f t="shared" si="11"/>
        <v>24762.391625758253</v>
      </c>
      <c r="K62" s="35">
        <f t="shared" si="11"/>
        <v>221.22114892371957</v>
      </c>
      <c r="L62" s="35">
        <f t="shared" si="11"/>
        <v>272.7140565018351</v>
      </c>
      <c r="M62" s="35">
        <f t="shared" si="11"/>
        <v>602.89932983467565</v>
      </c>
      <c r="N62" s="35">
        <f t="shared" si="11"/>
        <v>321.16062595561846</v>
      </c>
      <c r="O62" s="35">
        <f t="shared" si="11"/>
        <v>200</v>
      </c>
      <c r="P62" s="67">
        <f t="shared" si="0"/>
        <v>-0.14909838818384546</v>
      </c>
      <c r="Q62" s="67">
        <f t="shared" si="1"/>
        <v>-3.2273217554564533E-2</v>
      </c>
      <c r="R62" s="68">
        <f>'Data Descriptors 2'!$C62-'Data Descriptors 2'!$B62</f>
        <v>-0.24808628923550932</v>
      </c>
      <c r="S62" s="68">
        <f t="shared" si="2"/>
        <v>-6.216206825656917E-2</v>
      </c>
      <c r="T62" s="68">
        <f t="shared" si="9"/>
        <v>6.3333872734198771E-2</v>
      </c>
      <c r="U62" s="69">
        <f>'[1]Inflation Rate'!C67</f>
        <v>6.19718E-2</v>
      </c>
      <c r="V62" s="51">
        <f t="shared" si="10"/>
        <v>-0.13595983505822917</v>
      </c>
      <c r="W62" s="51">
        <f t="shared" si="10"/>
        <v>-0.36956894712270139</v>
      </c>
      <c r="X62" s="51">
        <f t="shared" si="10"/>
        <v>4.4378555243695939E-3</v>
      </c>
      <c r="Y62" s="51">
        <f t="shared" si="10"/>
        <v>-0.10556993435223616</v>
      </c>
      <c r="Z62" s="51">
        <f t="shared" si="10"/>
        <v>-7.7425259793076906E-2</v>
      </c>
      <c r="AA62" s="51">
        <f t="shared" si="10"/>
        <v>7.5063097013994273E-3</v>
      </c>
      <c r="AB62" s="51">
        <f t="shared" si="10"/>
        <v>-1.1165386229300633E-2</v>
      </c>
      <c r="AC62" s="34">
        <f t="shared" si="12"/>
        <v>1555.5201429652257</v>
      </c>
      <c r="AD62" s="36">
        <f t="shared" si="12"/>
        <v>11363.116150907383</v>
      </c>
      <c r="AE62" s="35">
        <f t="shared" si="12"/>
        <v>101.51529982437341</v>
      </c>
      <c r="AF62" s="35">
        <f t="shared" si="12"/>
        <v>125.14467692983095</v>
      </c>
      <c r="AG62" s="35">
        <f t="shared" si="12"/>
        <v>276.66209370056583</v>
      </c>
      <c r="AH62" s="35">
        <f t="shared" si="12"/>
        <v>147.37613195793492</v>
      </c>
      <c r="AI62" s="35">
        <f t="shared" si="12"/>
        <v>91.777210558993616</v>
      </c>
      <c r="AJ62" s="51">
        <f>'Data Descriptors 2'!$V62-'Data Descriptors 2'!$X62</f>
        <v>-0.14039769058259877</v>
      </c>
      <c r="AK62" s="51">
        <f>'Data Descriptors 2'!$V62-'Data Descriptors 2'!$Y62</f>
        <v>-3.0389900705993012E-2</v>
      </c>
    </row>
    <row r="63" spans="1:37">
      <c r="A63" s="32">
        <v>1970</v>
      </c>
      <c r="B63" s="33">
        <f>('[1]S&amp;P 500 &amp; Raw Data'!B46-'[1]S&amp;P 500 &amp; Raw Data'!B45+'[1]S&amp;P 500 &amp; Raw Data'!C46)/'[1]S&amp;P 500 &amp; Raw Data'!B45</f>
        <v>3.5611449054964189E-2</v>
      </c>
      <c r="C63" s="33">
        <f>'[1]Small Cap'!B44</f>
        <v>-0.19</v>
      </c>
      <c r="D63" s="33">
        <f>'[1]T. Bill rates'!C48</f>
        <v>6.3909999999999995E-2</v>
      </c>
      <c r="E63" s="33">
        <f>'[1]S&amp;P 500 &amp; Raw Data'!F46</f>
        <v>0.16754737183412338</v>
      </c>
      <c r="F63" s="33">
        <f>'[1]S&amp;P 500 &amp; Raw Data'!J46</f>
        <v>5.6495676569888728E-2</v>
      </c>
      <c r="G63" s="33">
        <f>'[1]Home Prices'!B46/'[1]Home Prices'!B45-1</f>
        <v>8.2155477031802038E-2</v>
      </c>
      <c r="H63" s="33">
        <f>'[1]Gold Prices'!B45/'[1]Gold Prices'!B44-1</f>
        <v>-9.4476744186046457E-2</v>
      </c>
      <c r="I63" s="34">
        <f t="shared" si="11"/>
        <v>3510.4890625432981</v>
      </c>
      <c r="J63" s="35">
        <f t="shared" si="11"/>
        <v>20057.537216864188</v>
      </c>
      <c r="K63" s="35">
        <f t="shared" si="11"/>
        <v>235.35939255143447</v>
      </c>
      <c r="L63" s="35">
        <f t="shared" si="11"/>
        <v>318.40657993094021</v>
      </c>
      <c r="M63" s="35">
        <f t="shared" si="11"/>
        <v>636.96053537721821</v>
      </c>
      <c r="N63" s="35">
        <f t="shared" si="11"/>
        <v>347.54573038483443</v>
      </c>
      <c r="O63" s="35">
        <f t="shared" si="11"/>
        <v>181.1046511627907</v>
      </c>
      <c r="P63" s="67">
        <f t="shared" si="0"/>
        <v>-2.8298550945035805E-2</v>
      </c>
      <c r="Q63" s="67">
        <f t="shared" si="1"/>
        <v>-0.13193592277915919</v>
      </c>
      <c r="R63" s="68">
        <f>'Data Descriptors 2'!$C63-'Data Descriptors 2'!$B63</f>
        <v>-0.22561144905496419</v>
      </c>
      <c r="S63" s="68">
        <f t="shared" si="2"/>
        <v>-2.0884227514924539E-2</v>
      </c>
      <c r="T63" s="68">
        <f t="shared" si="9"/>
        <v>5.8972566666315007E-2</v>
      </c>
      <c r="U63" s="69">
        <f>'[1]Inflation Rate'!C68</f>
        <v>5.57029E-2</v>
      </c>
      <c r="V63" s="51">
        <f t="shared" si="10"/>
        <v>-1.9031349582383283E-2</v>
      </c>
      <c r="W63" s="51">
        <f t="shared" si="10"/>
        <v>-0.23273868055112845</v>
      </c>
      <c r="X63" s="51">
        <f t="shared" si="10"/>
        <v>7.7740621911712715E-3</v>
      </c>
      <c r="Y63" s="51">
        <f t="shared" si="10"/>
        <v>0.10594313213890327</v>
      </c>
      <c r="Z63" s="51">
        <f t="shared" si="10"/>
        <v>7.5094666301356305E-4</v>
      </c>
      <c r="AA63" s="51">
        <f t="shared" si="10"/>
        <v>2.5056838464498021E-2</v>
      </c>
      <c r="AB63" s="51">
        <f t="shared" si="10"/>
        <v>-0.14225559500314577</v>
      </c>
      <c r="AC63" s="34">
        <f t="shared" si="12"/>
        <v>1525.9164953420157</v>
      </c>
      <c r="AD63" s="36">
        <f t="shared" si="12"/>
        <v>8718.4794909959819</v>
      </c>
      <c r="AE63" s="35">
        <f t="shared" si="12"/>
        <v>102.30448607856349</v>
      </c>
      <c r="AF63" s="35">
        <f t="shared" si="12"/>
        <v>138.40289597428838</v>
      </c>
      <c r="AG63" s="35">
        <f t="shared" si="12"/>
        <v>276.8698521766126</v>
      </c>
      <c r="AH63" s="35">
        <f t="shared" si="12"/>
        <v>151.06891188992745</v>
      </c>
      <c r="AI63" s="35">
        <f t="shared" si="12"/>
        <v>78.721388863194989</v>
      </c>
      <c r="AJ63" s="51">
        <f>'Data Descriptors 2'!$V63-'Data Descriptors 2'!$X63</f>
        <v>-2.6805411773554555E-2</v>
      </c>
      <c r="AK63" s="51">
        <f>'Data Descriptors 2'!$V63-'Data Descriptors 2'!$Y63</f>
        <v>-0.12497448172128656</v>
      </c>
    </row>
    <row r="64" spans="1:37">
      <c r="A64" s="32">
        <v>1971</v>
      </c>
      <c r="B64" s="33">
        <f>('[1]S&amp;P 500 &amp; Raw Data'!B47-'[1]S&amp;P 500 &amp; Raw Data'!B46+'[1]S&amp;P 500 &amp; Raw Data'!C47)/'[1]S&amp;P 500 &amp; Raw Data'!B46</f>
        <v>0.14221150298426474</v>
      </c>
      <c r="C64" s="33">
        <f>'[1]Small Cap'!B45</f>
        <v>0.16489999999999999</v>
      </c>
      <c r="D64" s="33">
        <f>'[1]T. Bill rates'!C49</f>
        <v>4.3342570281124503E-2</v>
      </c>
      <c r="E64" s="33">
        <f>'[1]S&amp;P 500 &amp; Raw Data'!F47</f>
        <v>9.7868966197122972E-2</v>
      </c>
      <c r="F64" s="33">
        <f>'[1]S&amp;P 500 &amp; Raw Data'!J47</f>
        <v>0.1400146617421994</v>
      </c>
      <c r="G64" s="33">
        <f>'[1]Home Prices'!B47/'[1]Home Prices'!B46-1</f>
        <v>4.24489795918368E-2</v>
      </c>
      <c r="H64" s="33">
        <f>'[1]Gold Prices'!B46/'[1]Gold Prices'!B45-1</f>
        <v>0.16693418940609939</v>
      </c>
      <c r="I64" s="34">
        <f t="shared" si="11"/>
        <v>4009.720988337403</v>
      </c>
      <c r="J64" s="35">
        <f>J63*(1+C64)</f>
        <v>23365.025103925094</v>
      </c>
      <c r="K64" s="35">
        <f t="shared" si="11"/>
        <v>245.5604735644178</v>
      </c>
      <c r="L64" s="35">
        <f t="shared" si="11"/>
        <v>349.56870273914296</v>
      </c>
      <c r="M64" s="35">
        <f t="shared" si="11"/>
        <v>726.14434928118965</v>
      </c>
      <c r="N64" s="35">
        <f t="shared" si="11"/>
        <v>362.29869200117025</v>
      </c>
      <c r="O64" s="35">
        <f t="shared" si="11"/>
        <v>211.33720930232556</v>
      </c>
      <c r="P64" s="67">
        <f t="shared" si="0"/>
        <v>9.8868932703140233E-2</v>
      </c>
      <c r="Q64" s="67">
        <f t="shared" si="1"/>
        <v>4.434253678714177E-2</v>
      </c>
      <c r="R64" s="68">
        <f>'Data Descriptors 2'!$C64-'Data Descriptors 2'!$B64</f>
        <v>2.2688497015735248E-2</v>
      </c>
      <c r="S64" s="68">
        <f t="shared" si="2"/>
        <v>2.1968412420653449E-3</v>
      </c>
      <c r="T64" s="68">
        <f t="shared" si="9"/>
        <v>5.8660636809878541E-2</v>
      </c>
      <c r="U64" s="69">
        <f>'[1]Inflation Rate'!C69</f>
        <v>3.2663299999999999E-2</v>
      </c>
      <c r="V64" s="51">
        <f t="shared" si="10"/>
        <v>0.10608317636955311</v>
      </c>
      <c r="W64" s="51">
        <f t="shared" si="10"/>
        <v>0.12805403271327642</v>
      </c>
      <c r="X64" s="51">
        <f t="shared" si="10"/>
        <v>1.0341483309346255E-2</v>
      </c>
      <c r="Y64" s="51">
        <f t="shared" si="10"/>
        <v>6.3143200883698514E-2</v>
      </c>
      <c r="Z64" s="51">
        <f t="shared" si="10"/>
        <v>0.10395582155597016</v>
      </c>
      <c r="AA64" s="51">
        <f t="shared" si="10"/>
        <v>9.4761570318580013E-3</v>
      </c>
      <c r="AB64" s="51">
        <f t="shared" si="10"/>
        <v>0.13002388039363777</v>
      </c>
      <c r="AC64" s="34">
        <f t="shared" si="12"/>
        <v>1687.7905640425931</v>
      </c>
      <c r="AD64" s="36">
        <f t="shared" si="12"/>
        <v>9834.9159489460108</v>
      </c>
      <c r="AE64" s="35">
        <f t="shared" si="12"/>
        <v>103.36246621381619</v>
      </c>
      <c r="AF64" s="35">
        <f t="shared" si="12"/>
        <v>147.14209783767851</v>
      </c>
      <c r="AG64" s="35">
        <f t="shared" si="12"/>
        <v>305.65208512371237</v>
      </c>
      <c r="AH64" s="35">
        <f t="shared" si="12"/>
        <v>152.50046462162831</v>
      </c>
      <c r="AI64" s="35">
        <f t="shared" si="12"/>
        <v>88.957049313164106</v>
      </c>
      <c r="AJ64" s="51">
        <f>'Data Descriptors 2'!$V64-'Data Descriptors 2'!$X64</f>
        <v>9.5741693060206856E-2</v>
      </c>
      <c r="AK64" s="51">
        <f>'Data Descriptors 2'!$V64-'Data Descriptors 2'!$Y64</f>
        <v>4.2939975485854598E-2</v>
      </c>
    </row>
    <row r="65" spans="1:37">
      <c r="A65" s="32">
        <v>1972</v>
      </c>
      <c r="B65" s="33">
        <f>('[1]S&amp;P 500 &amp; Raw Data'!B48-'[1]S&amp;P 500 &amp; Raw Data'!B47+'[1]S&amp;P 500 &amp; Raw Data'!C48)/'[1]S&amp;P 500 &amp; Raw Data'!B47</f>
        <v>0.18755362915074925</v>
      </c>
      <c r="C65" s="33">
        <f>'[1]Small Cap'!B46</f>
        <v>2.5999999999999999E-3</v>
      </c>
      <c r="D65" s="33">
        <f>'[1]T. Bill rates'!C50</f>
        <v>4.0618399999999999E-2</v>
      </c>
      <c r="E65" s="33">
        <f>'[1]S&amp;P 500 &amp; Raw Data'!F48</f>
        <v>2.818449050444969E-2</v>
      </c>
      <c r="F65" s="33">
        <f>'[1]S&amp;P 500 &amp; Raw Data'!J48</f>
        <v>0.11409093579389698</v>
      </c>
      <c r="G65" s="33">
        <f>'[1]Home Prices'!B48/'[1]Home Prices'!B47-1</f>
        <v>2.9757243539545897E-2</v>
      </c>
      <c r="H65" s="33">
        <f>'[1]Gold Prices'!B47/'[1]Gold Prices'!B46-1</f>
        <v>0.48784961027051832</v>
      </c>
      <c r="I65" s="34">
        <f t="shared" si="11"/>
        <v>4761.7587115820115</v>
      </c>
      <c r="J65" s="35">
        <f t="shared" si="11"/>
        <v>23425.774169195298</v>
      </c>
      <c r="K65" s="35">
        <f t="shared" si="11"/>
        <v>255.53474710384677</v>
      </c>
      <c r="L65" s="35">
        <f t="shared" si="11"/>
        <v>359.42111852214714</v>
      </c>
      <c r="M65" s="35">
        <f t="shared" si="11"/>
        <v>808.99083761213103</v>
      </c>
      <c r="N65" s="35">
        <f t="shared" si="11"/>
        <v>373.07970241310801</v>
      </c>
      <c r="O65" s="35">
        <f t="shared" si="11"/>
        <v>314.43798449612405</v>
      </c>
      <c r="P65" s="67">
        <f t="shared" si="0"/>
        <v>0.14693522915074925</v>
      </c>
      <c r="Q65" s="67">
        <f t="shared" si="1"/>
        <v>0.15936913864629956</v>
      </c>
      <c r="R65" s="68">
        <f>'Data Descriptors 2'!$C65-'Data Descriptors 2'!$B65</f>
        <v>-0.18495362915074925</v>
      </c>
      <c r="S65" s="68">
        <f t="shared" si="2"/>
        <v>7.3462693356852266E-2</v>
      </c>
      <c r="T65" s="68">
        <f t="shared" si="9"/>
        <v>6.0804303728189568E-2</v>
      </c>
      <c r="U65" s="69">
        <f>'[1]Inflation Rate'!C70</f>
        <v>3.4063299999999998E-2</v>
      </c>
      <c r="V65" s="51">
        <f t="shared" si="10"/>
        <v>0.14843417143877868</v>
      </c>
      <c r="W65" s="51">
        <f t="shared" si="10"/>
        <v>-3.0426860715393356E-2</v>
      </c>
      <c r="X65" s="51">
        <f t="shared" si="10"/>
        <v>6.3391670509920228E-3</v>
      </c>
      <c r="Y65" s="51">
        <f t="shared" si="10"/>
        <v>-5.6851543764778745E-3</v>
      </c>
      <c r="Z65" s="51">
        <f t="shared" si="10"/>
        <v>7.739142835249746E-2</v>
      </c>
      <c r="AA65" s="51">
        <f t="shared" si="10"/>
        <v>-4.1642097349882112E-3</v>
      </c>
      <c r="AB65" s="51">
        <f t="shared" si="10"/>
        <v>0.43883803851323067</v>
      </c>
      <c r="AC65" s="34">
        <f t="shared" si="12"/>
        <v>1938.3163579784443</v>
      </c>
      <c r="AD65" s="36">
        <f t="shared" si="12"/>
        <v>9535.6703312198297</v>
      </c>
      <c r="AE65" s="35">
        <f t="shared" si="12"/>
        <v>104.01769815394809</v>
      </c>
      <c r="AF65" s="35">
        <f t="shared" si="12"/>
        <v>146.30557229619248</v>
      </c>
      <c r="AG65" s="35">
        <f t="shared" si="12"/>
        <v>329.30693657035562</v>
      </c>
      <c r="AH65" s="35">
        <f t="shared" si="12"/>
        <v>151.86542070226071</v>
      </c>
      <c r="AI65" s="35">
        <f t="shared" si="12"/>
        <v>127.99478634567778</v>
      </c>
      <c r="AJ65" s="51">
        <f>'Data Descriptors 2'!$V65-'Data Descriptors 2'!$X65</f>
        <v>0.14209500438778666</v>
      </c>
      <c r="AK65" s="51">
        <f>'Data Descriptors 2'!$V65-'Data Descriptors 2'!$Y65</f>
        <v>0.15411932581525656</v>
      </c>
    </row>
    <row r="66" spans="1:37">
      <c r="A66" s="32">
        <v>1973</v>
      </c>
      <c r="B66" s="33">
        <f>('[1]S&amp;P 500 &amp; Raw Data'!B49-'[1]S&amp;P 500 &amp; Raw Data'!B48+'[1]S&amp;P 500 &amp; Raw Data'!C49)/'[1]S&amp;P 500 &amp; Raw Data'!B48</f>
        <v>-0.14308047437526472</v>
      </c>
      <c r="C66" s="33">
        <f>'[1]Small Cap'!B47</f>
        <v>-0.38630000000000003</v>
      </c>
      <c r="D66" s="33">
        <f>'[1]T. Bill rates'!C51</f>
        <v>7.0354435483870964E-2</v>
      </c>
      <c r="E66" s="33">
        <f>'[1]S&amp;P 500 &amp; Raw Data'!F49</f>
        <v>3.6586646024150085E-2</v>
      </c>
      <c r="F66" s="33">
        <f>'[1]S&amp;P 500 &amp; Raw Data'!J49</f>
        <v>4.3180404854323576E-2</v>
      </c>
      <c r="G66" s="33">
        <f>'[1]Home Prices'!B49/'[1]Home Prices'!B48-1</f>
        <v>3.4220532319391594E-2</v>
      </c>
      <c r="H66" s="33">
        <f>'[1]Gold Prices'!B48/'[1]Gold Prices'!B47-1</f>
        <v>0.72958397534668706</v>
      </c>
      <c r="I66" s="34">
        <f t="shared" si="11"/>
        <v>4080.4440162683081</v>
      </c>
      <c r="J66" s="35">
        <f t="shared" si="11"/>
        <v>14376.397607635152</v>
      </c>
      <c r="K66" s="35">
        <f t="shared" si="11"/>
        <v>273.51274998285163</v>
      </c>
      <c r="L66" s="35">
        <f t="shared" si="11"/>
        <v>372.57113175912104</v>
      </c>
      <c r="M66" s="35">
        <f t="shared" si="11"/>
        <v>843.92338950366127</v>
      </c>
      <c r="N66" s="35">
        <f t="shared" si="11"/>
        <v>385.84668842724477</v>
      </c>
      <c r="O66" s="35">
        <f t="shared" si="11"/>
        <v>543.84689922480618</v>
      </c>
      <c r="P66" s="67">
        <f t="shared" si="0"/>
        <v>-0.21343490985913569</v>
      </c>
      <c r="Q66" s="67">
        <f t="shared" si="1"/>
        <v>-0.17966712039941479</v>
      </c>
      <c r="R66" s="68">
        <f>'Data Descriptors 2'!$C66-'Data Descriptors 2'!$B66</f>
        <v>-0.24321952562473531</v>
      </c>
      <c r="S66" s="68">
        <f t="shared" si="2"/>
        <v>-0.18626087922958828</v>
      </c>
      <c r="T66" s="68">
        <f t="shared" si="9"/>
        <v>5.4960045718843054E-2</v>
      </c>
      <c r="U66" s="69">
        <f>'[1]Inflation Rate'!C71</f>
        <v>8.7058800000000006E-2</v>
      </c>
      <c r="V66" s="51">
        <f t="shared" si="10"/>
        <v>-0.21170821152937158</v>
      </c>
      <c r="W66" s="51">
        <f t="shared" si="10"/>
        <v>-0.43544912197941832</v>
      </c>
      <c r="X66" s="51">
        <f t="shared" si="10"/>
        <v>-1.5366569422122445E-2</v>
      </c>
      <c r="Y66" s="51">
        <f t="shared" si="10"/>
        <v>-4.6430012779299479E-2</v>
      </c>
      <c r="Z66" s="51">
        <f t="shared" si="10"/>
        <v>-4.0364325412458379E-2</v>
      </c>
      <c r="AA66" s="51">
        <f t="shared" si="10"/>
        <v>-4.8606632576460918E-2</v>
      </c>
      <c r="AB66" s="51">
        <f t="shared" si="10"/>
        <v>0.59106754422731034</v>
      </c>
      <c r="AC66" s="34">
        <f t="shared" si="12"/>
        <v>1527.9588684527027</v>
      </c>
      <c r="AD66" s="36">
        <f t="shared" si="12"/>
        <v>5383.3710580049656</v>
      </c>
      <c r="AE66" s="35">
        <f t="shared" si="12"/>
        <v>102.41930297413607</v>
      </c>
      <c r="AF66" s="35">
        <f t="shared" si="12"/>
        <v>139.51260270479753</v>
      </c>
      <c r="AG66" s="35">
        <f t="shared" si="12"/>
        <v>316.01468422204999</v>
      </c>
      <c r="AH66" s="35">
        <f t="shared" si="12"/>
        <v>144.48375399711625</v>
      </c>
      <c r="AI66" s="35">
        <f t="shared" si="12"/>
        <v>203.64835038491682</v>
      </c>
      <c r="AJ66" s="51">
        <f>'Data Descriptors 2'!$V66-'Data Descriptors 2'!$X66</f>
        <v>-0.19634164210724914</v>
      </c>
      <c r="AK66" s="51">
        <f>'Data Descriptors 2'!$V66-'Data Descriptors 2'!$Y66</f>
        <v>-0.1652781987500721</v>
      </c>
    </row>
    <row r="67" spans="1:37">
      <c r="A67" s="32">
        <v>1974</v>
      </c>
      <c r="B67" s="33">
        <f>('[1]S&amp;P 500 &amp; Raw Data'!B50-'[1]S&amp;P 500 &amp; Raw Data'!B49+'[1]S&amp;P 500 &amp; Raw Data'!C50)/'[1]S&amp;P 500 &amp; Raw Data'!B49</f>
        <v>-0.25901785750896972</v>
      </c>
      <c r="C67" s="33">
        <f>'[1]Small Cap'!B48</f>
        <v>-0.2681</v>
      </c>
      <c r="D67" s="33">
        <f>'[1]T. Bill rates'!C52</f>
        <v>7.8457831325301208E-2</v>
      </c>
      <c r="E67" s="33">
        <f>'[1]S&amp;P 500 &amp; Raw Data'!F50</f>
        <v>1.9886086932378574E-2</v>
      </c>
      <c r="F67" s="33">
        <f>'[1]S&amp;P 500 &amp; Raw Data'!J50</f>
        <v>-4.3807197977191667E-2</v>
      </c>
      <c r="G67" s="33">
        <f>'[1]Home Prices'!B50/'[1]Home Prices'!B49-1</f>
        <v>0.10073529411764692</v>
      </c>
      <c r="H67" s="33">
        <f>'[1]Gold Prices'!B49/'[1]Gold Prices'!B48-1</f>
        <v>0.66146993318485525</v>
      </c>
      <c r="I67" s="34">
        <f t="shared" si="11"/>
        <v>3023.5361494891954</v>
      </c>
      <c r="J67" s="35">
        <f>J66*(1+C67)</f>
        <v>10522.085409028168</v>
      </c>
      <c r="K67" s="35">
        <f t="shared" si="11"/>
        <v>294.97196718632551</v>
      </c>
      <c r="L67" s="35">
        <f t="shared" si="11"/>
        <v>379.98011367377757</v>
      </c>
      <c r="M67" s="35">
        <f t="shared" si="11"/>
        <v>806.9534705020917</v>
      </c>
      <c r="N67" s="35">
        <f t="shared" si="11"/>
        <v>424.71506807028334</v>
      </c>
      <c r="O67" s="35">
        <f t="shared" si="11"/>
        <v>903.58527131782944</v>
      </c>
      <c r="P67" s="67">
        <f t="shared" si="0"/>
        <v>-0.33747568883427093</v>
      </c>
      <c r="Q67" s="67">
        <f t="shared" si="1"/>
        <v>-0.27890394444134831</v>
      </c>
      <c r="R67" s="68">
        <f>'Data Descriptors 2'!$C67-'Data Descriptors 2'!$B67</f>
        <v>-9.0821424910302873E-3</v>
      </c>
      <c r="S67" s="68">
        <f t="shared" si="2"/>
        <v>-0.21521065953177804</v>
      </c>
      <c r="T67" s="68">
        <f t="shared" si="9"/>
        <v>4.6417018581159875E-2</v>
      </c>
      <c r="U67" s="69">
        <f>'[1]Inflation Rate'!C72</f>
        <v>0.1233766</v>
      </c>
      <c r="V67" s="51">
        <f t="shared" si="10"/>
        <v>-0.34039738544399956</v>
      </c>
      <c r="W67" s="51">
        <f t="shared" si="10"/>
        <v>-0.34848206736725695</v>
      </c>
      <c r="X67" s="51">
        <f t="shared" si="10"/>
        <v>-3.9985494334401128E-2</v>
      </c>
      <c r="Y67" s="51">
        <f t="shared" si="10"/>
        <v>-9.2124504878970725E-2</v>
      </c>
      <c r="Z67" s="51">
        <f t="shared" si="10"/>
        <v>-0.1488225747066404</v>
      </c>
      <c r="AA67" s="51">
        <f t="shared" si="10"/>
        <v>-2.0154688892712547E-2</v>
      </c>
      <c r="AB67" s="51">
        <f t="shared" si="10"/>
        <v>0.47899638748470919</v>
      </c>
      <c r="AC67" s="34">
        <f t="shared" si="12"/>
        <v>1007.8456645654306</v>
      </c>
      <c r="AD67" s="36">
        <f t="shared" si="12"/>
        <v>3507.362782306338</v>
      </c>
      <c r="AE67" s="35">
        <f t="shared" si="12"/>
        <v>98.324016515330442</v>
      </c>
      <c r="AF67" s="35">
        <f t="shared" si="12"/>
        <v>126.6600732562415</v>
      </c>
      <c r="AG67" s="35">
        <f t="shared" si="12"/>
        <v>268.9845652710186</v>
      </c>
      <c r="AH67" s="35">
        <f t="shared" si="12"/>
        <v>141.57172888525315</v>
      </c>
      <c r="AI67" s="35">
        <f t="shared" si="12"/>
        <v>301.19517453651224</v>
      </c>
      <c r="AJ67" s="51">
        <f>'Data Descriptors 2'!$V67-'Data Descriptors 2'!$X67</f>
        <v>-0.30041189110959843</v>
      </c>
      <c r="AK67" s="51">
        <f>'Data Descriptors 2'!$V67-'Data Descriptors 2'!$Y67</f>
        <v>-0.24827288056502883</v>
      </c>
    </row>
    <row r="68" spans="1:37">
      <c r="A68" s="32">
        <v>1975</v>
      </c>
      <c r="B68" s="33">
        <f>('[1]S&amp;P 500 &amp; Raw Data'!B51-'[1]S&amp;P 500 &amp; Raw Data'!B50+'[1]S&amp;P 500 &amp; Raw Data'!C51)/'[1]S&amp;P 500 &amp; Raw Data'!B50</f>
        <v>0.36995137106184356</v>
      </c>
      <c r="C68" s="33">
        <f>'[1]Small Cap'!B49</f>
        <v>0.59350000000000003</v>
      </c>
      <c r="D68" s="33">
        <f>'[1]T. Bill rates'!C53</f>
        <v>5.7863855421686747E-2</v>
      </c>
      <c r="E68" s="33">
        <f>'[1]S&amp;P 500 &amp; Raw Data'!F51</f>
        <v>3.6052536026033838E-2</v>
      </c>
      <c r="F68" s="33">
        <f>'[1]S&amp;P 500 &amp; Raw Data'!J51</f>
        <v>0.11049964074144952</v>
      </c>
      <c r="G68" s="33">
        <f>'[1]Home Prices'!B51/'[1]Home Prices'!B50-1</f>
        <v>6.7737093749264288E-2</v>
      </c>
      <c r="H68" s="33">
        <f>'[1]Gold Prices'!B50/'[1]Gold Prices'!B49-1</f>
        <v>-0.24798927613941024</v>
      </c>
      <c r="I68" s="34">
        <f t="shared" si="11"/>
        <v>4142.0974934477708</v>
      </c>
      <c r="J68" s="35">
        <f t="shared" si="11"/>
        <v>16766.943099286389</v>
      </c>
      <c r="K68" s="35">
        <f t="shared" si="11"/>
        <v>312.04018244904557</v>
      </c>
      <c r="L68" s="35">
        <f t="shared" si="11"/>
        <v>393.67936041117781</v>
      </c>
      <c r="M68" s="35">
        <f t="shared" si="11"/>
        <v>896.12153908763878</v>
      </c>
      <c r="N68" s="35">
        <f t="shared" si="11"/>
        <v>453.48403245288529</v>
      </c>
      <c r="O68" s="35">
        <f t="shared" si="11"/>
        <v>679.50581395348831</v>
      </c>
      <c r="P68" s="67">
        <f t="shared" si="0"/>
        <v>0.3120875156401568</v>
      </c>
      <c r="Q68" s="67">
        <f t="shared" si="1"/>
        <v>0.33389883503580975</v>
      </c>
      <c r="R68" s="68">
        <f>'Data Descriptors 2'!$C68-'Data Descriptors 2'!$B68</f>
        <v>0.22354862893815647</v>
      </c>
      <c r="S68" s="68">
        <f t="shared" si="2"/>
        <v>0.25945173032039404</v>
      </c>
      <c r="T68" s="68">
        <f t="shared" si="9"/>
        <v>5.1706756781676244E-2</v>
      </c>
      <c r="U68" s="69">
        <f>'[1]Inflation Rate'!C73</f>
        <v>6.9364200000000001E-2</v>
      </c>
      <c r="V68" s="51">
        <f t="shared" si="10"/>
        <v>0.28108961480274308</v>
      </c>
      <c r="W68" s="51">
        <f t="shared" si="10"/>
        <v>0.49013778467616542</v>
      </c>
      <c r="X68" s="51">
        <f t="shared" si="10"/>
        <v>-1.0754375897672031E-2</v>
      </c>
      <c r="Y68" s="51">
        <f t="shared" si="10"/>
        <v>-3.1150906280541624E-2</v>
      </c>
      <c r="Z68" s="51">
        <f t="shared" si="10"/>
        <v>3.8467194564255625E-2</v>
      </c>
      <c r="AA68" s="51">
        <f t="shared" si="10"/>
        <v>-1.5215641693782089E-3</v>
      </c>
      <c r="AB68" s="51">
        <f t="shared" si="10"/>
        <v>-0.29676837520782007</v>
      </c>
      <c r="AC68" s="34">
        <f t="shared" si="12"/>
        <v>1291.1406141987422</v>
      </c>
      <c r="AD68" s="36">
        <f t="shared" si="12"/>
        <v>5226.4538064815979</v>
      </c>
      <c r="AE68" s="35">
        <f t="shared" si="12"/>
        <v>97.266603081955665</v>
      </c>
      <c r="AF68" s="35">
        <f t="shared" si="12"/>
        <v>122.71449718474979</v>
      </c>
      <c r="AG68" s="35">
        <f t="shared" si="12"/>
        <v>279.33164687808056</v>
      </c>
      <c r="AH68" s="35">
        <f t="shared" si="12"/>
        <v>141.35631841518443</v>
      </c>
      <c r="AI68" s="35">
        <f t="shared" si="12"/>
        <v>211.80997196887571</v>
      </c>
      <c r="AJ68" s="51">
        <f>'Data Descriptors 2'!$V68-'Data Descriptors 2'!$X68</f>
        <v>0.29184399070041511</v>
      </c>
      <c r="AK68" s="51">
        <f>'Data Descriptors 2'!$V68-'Data Descriptors 2'!$Y68</f>
        <v>0.31224052108328471</v>
      </c>
    </row>
    <row r="69" spans="1:37">
      <c r="A69" s="32">
        <v>1976</v>
      </c>
      <c r="B69" s="33">
        <f>('[1]S&amp;P 500 &amp; Raw Data'!B52-'[1]S&amp;P 500 &amp; Raw Data'!B51+'[1]S&amp;P 500 &amp; Raw Data'!C52)/'[1]S&amp;P 500 &amp; Raw Data'!B51</f>
        <v>0.23830999002106662</v>
      </c>
      <c r="C69" s="33">
        <f>'[1]Small Cap'!B50</f>
        <v>0.48509999999999998</v>
      </c>
      <c r="D69" s="33">
        <f>'[1]T. Bill rates'!C54</f>
        <v>4.9766000000000005E-2</v>
      </c>
      <c r="E69" s="33">
        <f>'[1]S&amp;P 500 &amp; Raw Data'!F52</f>
        <v>0.1598456074290921</v>
      </c>
      <c r="F69" s="33">
        <f>'[1]S&amp;P 500 &amp; Raw Data'!J52</f>
        <v>0.19752813987098014</v>
      </c>
      <c r="G69" s="33">
        <f>'[1]Home Prices'!B52/'[1]Home Prices'!B51-1</f>
        <v>8.1778348568406711E-2</v>
      </c>
      <c r="H69" s="33">
        <f>'[1]Gold Prices'!B51/'[1]Gold Prices'!B50-1</f>
        <v>-4.099821746880572E-2</v>
      </c>
      <c r="I69" s="34">
        <f t="shared" si="11"/>
        <v>5129.2007057775936</v>
      </c>
      <c r="J69" s="35">
        <f t="shared" si="11"/>
        <v>24900.587196750217</v>
      </c>
      <c r="K69" s="35">
        <f t="shared" si="11"/>
        <v>327.56917416880475</v>
      </c>
      <c r="L69" s="35">
        <f t="shared" si="11"/>
        <v>456.607276908399</v>
      </c>
      <c r="M69" s="35">
        <f t="shared" si="11"/>
        <v>1073.1307598019398</v>
      </c>
      <c r="N69" s="35">
        <f t="shared" si="11"/>
        <v>490.56920772902401</v>
      </c>
      <c r="O69" s="35">
        <f t="shared" si="11"/>
        <v>651.64728682170539</v>
      </c>
      <c r="P69" s="67">
        <f t="shared" si="0"/>
        <v>0.18854399002106662</v>
      </c>
      <c r="Q69" s="67">
        <f t="shared" si="1"/>
        <v>7.8464382591974524E-2</v>
      </c>
      <c r="R69" s="68">
        <f>'Data Descriptors 2'!$C69-'Data Descriptors 2'!$B69</f>
        <v>0.24679000997893336</v>
      </c>
      <c r="S69" s="68">
        <f t="shared" si="2"/>
        <v>4.0781850150086479E-2</v>
      </c>
      <c r="T69" s="68">
        <f t="shared" si="9"/>
        <v>5.2196588038950109E-2</v>
      </c>
      <c r="U69" s="69">
        <f>'[1]Inflation Rate'!C74</f>
        <v>4.86486E-2</v>
      </c>
      <c r="V69" s="51">
        <f t="shared" si="10"/>
        <v>0.18086267413227519</v>
      </c>
      <c r="W69" s="51">
        <f t="shared" si="10"/>
        <v>0.41620367394759339</v>
      </c>
      <c r="X69" s="51">
        <f t="shared" si="10"/>
        <v>1.0655619051034293E-3</v>
      </c>
      <c r="Y69" s="51">
        <f t="shared" si="10"/>
        <v>0.10603838829241008</v>
      </c>
      <c r="Z69" s="51">
        <f t="shared" si="10"/>
        <v>0.14197276367982581</v>
      </c>
      <c r="AA69" s="51">
        <f t="shared" si="10"/>
        <v>3.1592802935517916E-2</v>
      </c>
      <c r="AB69" s="51">
        <f t="shared" si="10"/>
        <v>-8.5487948459384455E-2</v>
      </c>
      <c r="AC69" s="34">
        <f t="shared" si="12"/>
        <v>1524.659758363515</v>
      </c>
      <c r="AD69" s="36">
        <f t="shared" si="12"/>
        <v>7401.7230824566232</v>
      </c>
      <c r="AE69" s="35">
        <f t="shared" si="12"/>
        <v>97.370246668838618</v>
      </c>
      <c r="AF69" s="35">
        <f t="shared" si="12"/>
        <v>135.72694468633415</v>
      </c>
      <c r="AG69" s="35">
        <f t="shared" si="12"/>
        <v>318.98913276859884</v>
      </c>
      <c r="AH69" s="35">
        <f t="shared" si="12"/>
        <v>145.82216072656567</v>
      </c>
      <c r="AI69" s="35">
        <f t="shared" si="12"/>
        <v>193.70277200201681</v>
      </c>
      <c r="AJ69" s="51">
        <f>'Data Descriptors 2'!$V69-'Data Descriptors 2'!$X69</f>
        <v>0.17979711222717176</v>
      </c>
      <c r="AK69" s="51">
        <f>'Data Descriptors 2'!$V69-'Data Descriptors 2'!$Y69</f>
        <v>7.4824285839865112E-2</v>
      </c>
    </row>
    <row r="70" spans="1:37">
      <c r="A70" s="32">
        <v>1977</v>
      </c>
      <c r="B70" s="33">
        <f>('[1]S&amp;P 500 &amp; Raw Data'!B53-'[1]S&amp;P 500 &amp; Raw Data'!B52+'[1]S&amp;P 500 &amp; Raw Data'!C53)/'[1]S&amp;P 500 &amp; Raw Data'!B52</f>
        <v>-6.9797040759352322E-2</v>
      </c>
      <c r="C70" s="33">
        <f>'[1]Small Cap'!B51</f>
        <v>0.30670000000000003</v>
      </c>
      <c r="D70" s="33">
        <f>'[1]T. Bill rates'!C55</f>
        <v>5.2609638554216867E-2</v>
      </c>
      <c r="E70" s="33">
        <f>'[1]S&amp;P 500 &amp; Raw Data'!F53</f>
        <v>1.2899606071070449E-2</v>
      </c>
      <c r="F70" s="33">
        <f>'[1]S&amp;P 500 &amp; Raw Data'!J53</f>
        <v>9.9546628520906386E-2</v>
      </c>
      <c r="G70" s="33">
        <f>'[1]Home Prices'!B53/'[1]Home Prices'!B52-1</f>
        <v>0.14654841300324728</v>
      </c>
      <c r="H70" s="33">
        <f>'[1]Gold Prices'!B52/'[1]Gold Prices'!B51-1</f>
        <v>0.2263940520446095</v>
      </c>
      <c r="I70" s="34">
        <f t="shared" ref="I70:O85" si="13">I69*(1+B70)</f>
        <v>4771.1976750535359</v>
      </c>
      <c r="J70" s="35">
        <f t="shared" si="13"/>
        <v>32537.597289993508</v>
      </c>
      <c r="K70" s="35">
        <f t="shared" si="13"/>
        <v>344.80247002332891</v>
      </c>
      <c r="L70" s="35">
        <f t="shared" si="13"/>
        <v>462.49733090970153</v>
      </c>
      <c r="M70" s="35">
        <f t="shared" si="13"/>
        <v>1179.9573089023015</v>
      </c>
      <c r="N70" s="35">
        <f t="shared" si="13"/>
        <v>562.46134658997278</v>
      </c>
      <c r="O70" s="35">
        <f t="shared" si="13"/>
        <v>799.17635658914719</v>
      </c>
      <c r="P70" s="67">
        <f t="shared" si="0"/>
        <v>-0.12240667931356919</v>
      </c>
      <c r="Q70" s="67">
        <f t="shared" si="1"/>
        <v>-8.2696646830422771E-2</v>
      </c>
      <c r="R70" s="68">
        <f>'Data Descriptors 2'!$C70-'Data Descriptors 2'!$B70</f>
        <v>0.37649704075935236</v>
      </c>
      <c r="S70" s="68">
        <f t="shared" si="2"/>
        <v>-0.16934366928025871</v>
      </c>
      <c r="T70" s="68">
        <f t="shared" si="9"/>
        <v>4.9266761357046551E-2</v>
      </c>
      <c r="U70" s="69">
        <f>'[1]Inflation Rate'!C75</f>
        <v>6.7010300000000009E-2</v>
      </c>
      <c r="V70" s="51">
        <f t="shared" si="10"/>
        <v>-0.12821557651257187</v>
      </c>
      <c r="W70" s="51">
        <f t="shared" si="10"/>
        <v>0.22463672562486048</v>
      </c>
      <c r="X70" s="51">
        <f t="shared" si="10"/>
        <v>-1.3496272196981574E-2</v>
      </c>
      <c r="Y70" s="51">
        <f t="shared" si="10"/>
        <v>-5.0712438229443046E-2</v>
      </c>
      <c r="Z70" s="51">
        <f t="shared" si="10"/>
        <v>3.0492984482817453E-2</v>
      </c>
      <c r="AA70" s="51">
        <f t="shared" si="10"/>
        <v>7.4542966458006399E-2</v>
      </c>
      <c r="AB70" s="51">
        <f t="shared" si="10"/>
        <v>0.1493741457271871</v>
      </c>
      <c r="AC70" s="34">
        <f t="shared" ref="AC70:AI85" si="14">AC69*(1+V70)</f>
        <v>1329.1746284594185</v>
      </c>
      <c r="AD70" s="36">
        <f t="shared" si="14"/>
        <v>9064.4219196816284</v>
      </c>
      <c r="AE70" s="35">
        <f t="shared" si="14"/>
        <v>96.056111315908737</v>
      </c>
      <c r="AF70" s="35">
        <f t="shared" si="14"/>
        <v>128.84390038785739</v>
      </c>
      <c r="AG70" s="35">
        <f t="shared" si="14"/>
        <v>328.7160634442991</v>
      </c>
      <c r="AH70" s="35">
        <f t="shared" si="14"/>
        <v>156.69217716244006</v>
      </c>
      <c r="AI70" s="35">
        <f t="shared" si="14"/>
        <v>222.63695809480618</v>
      </c>
      <c r="AJ70" s="51">
        <f>'Data Descriptors 2'!$V70-'Data Descriptors 2'!$X70</f>
        <v>-0.1147193043155903</v>
      </c>
      <c r="AK70" s="51">
        <f>'Data Descriptors 2'!$V70-'Data Descriptors 2'!$Y70</f>
        <v>-7.7503138283128825E-2</v>
      </c>
    </row>
    <row r="71" spans="1:37">
      <c r="A71" s="32">
        <v>1978</v>
      </c>
      <c r="B71" s="33">
        <f>('[1]S&amp;P 500 &amp; Raw Data'!B54-'[1]S&amp;P 500 &amp; Raw Data'!B53+'[1]S&amp;P 500 &amp; Raw Data'!C54)/'[1]S&amp;P 500 &amp; Raw Data'!B53</f>
        <v>6.50928391167193E-2</v>
      </c>
      <c r="C71" s="33">
        <f>'[1]Small Cap'!B52</f>
        <v>0.29320000000000002</v>
      </c>
      <c r="D71" s="33">
        <f>'[1]T. Bill rates'!C56</f>
        <v>7.1783064516129036E-2</v>
      </c>
      <c r="E71" s="33">
        <f>'[1]S&amp;P 500 &amp; Raw Data'!F54</f>
        <v>-7.7758069075086478E-3</v>
      </c>
      <c r="F71" s="33">
        <f>'[1]S&amp;P 500 &amp; Raw Data'!J54</f>
        <v>3.1375849771690861E-2</v>
      </c>
      <c r="G71" s="33">
        <f>'[1]Home Prices'!B54/'[1]Home Prices'!B53-1</f>
        <v>0.15723596053112443</v>
      </c>
      <c r="H71" s="33">
        <f>'[1]Gold Prices'!B53/'[1]Gold Prices'!B52-1</f>
        <v>0.37011215519854512</v>
      </c>
      <c r="I71" s="34">
        <f t="shared" si="13"/>
        <v>5081.7684777098611</v>
      </c>
      <c r="J71" s="35">
        <f t="shared" si="13"/>
        <v>42077.620815419607</v>
      </c>
      <c r="K71" s="35">
        <f t="shared" si="13"/>
        <v>369.55344797433418</v>
      </c>
      <c r="L71" s="35">
        <f t="shared" si="13"/>
        <v>458.90104096930958</v>
      </c>
      <c r="M71" s="35">
        <f t="shared" si="13"/>
        <v>1216.9794721634289</v>
      </c>
      <c r="N71" s="35">
        <f t="shared" si="13"/>
        <v>650.90049668267682</v>
      </c>
      <c r="O71" s="35">
        <f t="shared" si="13"/>
        <v>1094.9612403100775</v>
      </c>
      <c r="P71" s="67">
        <f t="shared" si="0"/>
        <v>-6.6902253994097355E-3</v>
      </c>
      <c r="Q71" s="67">
        <f t="shared" si="1"/>
        <v>7.2868646024227948E-2</v>
      </c>
      <c r="R71" s="68">
        <f>'Data Descriptors 2'!$C71-'Data Descriptors 2'!$B71</f>
        <v>0.2281071608832807</v>
      </c>
      <c r="S71" s="68">
        <f t="shared" si="2"/>
        <v>3.3716989345028439E-2</v>
      </c>
      <c r="T71" s="68">
        <f t="shared" si="9"/>
        <v>4.9741898913203242E-2</v>
      </c>
      <c r="U71" s="69">
        <f>'[1]Inflation Rate'!C76</f>
        <v>9.0177099999999996E-2</v>
      </c>
      <c r="V71" s="51">
        <f t="shared" si="10"/>
        <v>-2.3009344888349492E-2</v>
      </c>
      <c r="W71" s="51">
        <f t="shared" si="10"/>
        <v>0.18622928329718191</v>
      </c>
      <c r="X71" s="51">
        <f t="shared" si="10"/>
        <v>-1.6872520514209066E-2</v>
      </c>
      <c r="Y71" s="51">
        <f t="shared" si="10"/>
        <v>-8.9850453570808564E-2</v>
      </c>
      <c r="Z71" s="51">
        <f t="shared" si="10"/>
        <v>-5.3937337546632658E-2</v>
      </c>
      <c r="AA71" s="51">
        <f t="shared" si="10"/>
        <v>6.1511896123230381E-2</v>
      </c>
      <c r="AB71" s="51">
        <f t="shared" si="10"/>
        <v>0.25677943079023136</v>
      </c>
      <c r="AC71" s="34">
        <f t="shared" si="14"/>
        <v>1298.591191016352</v>
      </c>
      <c r="AD71" s="36">
        <f t="shared" si="14"/>
        <v>10752.482717287205</v>
      </c>
      <c r="AE71" s="35">
        <f t="shared" si="14"/>
        <v>94.43540260721592</v>
      </c>
      <c r="AF71" s="35">
        <f t="shared" si="14"/>
        <v>117.26721749817632</v>
      </c>
      <c r="AG71" s="35">
        <f t="shared" si="14"/>
        <v>310.9859941733036</v>
      </c>
      <c r="AH71" s="35">
        <f t="shared" si="14"/>
        <v>166.33061008737889</v>
      </c>
      <c r="AI71" s="35">
        <f t="shared" si="14"/>
        <v>279.80554946725908</v>
      </c>
      <c r="AJ71" s="51">
        <f>'Data Descriptors 2'!$V71-'Data Descriptors 2'!$X71</f>
        <v>-6.136824374140426E-3</v>
      </c>
      <c r="AK71" s="51">
        <f>'Data Descriptors 2'!$V71-'Data Descriptors 2'!$Y71</f>
        <v>6.6841108682459072E-2</v>
      </c>
    </row>
    <row r="72" spans="1:37">
      <c r="A72" s="32">
        <v>1979</v>
      </c>
      <c r="B72" s="33">
        <f>('[1]S&amp;P 500 &amp; Raw Data'!B55-'[1]S&amp;P 500 &amp; Raw Data'!B54+'[1]S&amp;P 500 &amp; Raw Data'!C55)/'[1]S&amp;P 500 &amp; Raw Data'!B54</f>
        <v>0.18519490167516386</v>
      </c>
      <c r="C72" s="33">
        <f>'[1]Small Cap'!B53</f>
        <v>0.41969999999999996</v>
      </c>
      <c r="D72" s="33">
        <f>'[1]T. Bill rates'!C57</f>
        <v>0.10054274193548388</v>
      </c>
      <c r="E72" s="33">
        <f>'[1]S&amp;P 500 &amp; Raw Data'!F55</f>
        <v>6.7072031247235459E-3</v>
      </c>
      <c r="F72" s="33">
        <f>'[1]S&amp;P 500 &amp; Raw Data'!J55</f>
        <v>-2.0091101436615355E-2</v>
      </c>
      <c r="G72" s="33">
        <f>'[1]Home Prices'!B55/'[1]Home Prices'!B54-1</f>
        <v>0.13742466907023854</v>
      </c>
      <c r="H72" s="33">
        <f>'[1]Gold Prices'!B54/'[1]Gold Prices'!B53-1</f>
        <v>1.2654867256637168</v>
      </c>
      <c r="I72" s="34">
        <f t="shared" si="13"/>
        <v>6022.8860912752862</v>
      </c>
      <c r="J72" s="35">
        <f t="shared" si="13"/>
        <v>59737.598271651215</v>
      </c>
      <c r="K72" s="35">
        <f t="shared" si="13"/>
        <v>406.7093649253859</v>
      </c>
      <c r="L72" s="35">
        <f t="shared" si="13"/>
        <v>461.97898346523777</v>
      </c>
      <c r="M72" s="35">
        <f t="shared" si="13"/>
        <v>1192.5290141419148</v>
      </c>
      <c r="N72" s="35">
        <f t="shared" si="13"/>
        <v>740.35028203694753</v>
      </c>
      <c r="O72" s="35">
        <f t="shared" si="13"/>
        <v>2480.6201550387595</v>
      </c>
      <c r="P72" s="67">
        <f t="shared" si="0"/>
        <v>8.4652159739679989E-2</v>
      </c>
      <c r="Q72" s="67">
        <f t="shared" si="1"/>
        <v>0.17848769855044033</v>
      </c>
      <c r="R72" s="68">
        <f>'Data Descriptors 2'!$C72-'Data Descriptors 2'!$B72</f>
        <v>0.2345050983248361</v>
      </c>
      <c r="S72" s="68">
        <f t="shared" si="2"/>
        <v>0.20528600311177922</v>
      </c>
      <c r="T72" s="68">
        <f t="shared" si="9"/>
        <v>5.2132252828986925E-2</v>
      </c>
      <c r="U72" s="69">
        <f>'[1]Inflation Rate'!C77</f>
        <v>0.13293939999999999</v>
      </c>
      <c r="V72" s="51">
        <f t="shared" si="10"/>
        <v>4.6123827695606634E-2</v>
      </c>
      <c r="W72" s="51">
        <f t="shared" si="10"/>
        <v>0.25311203759000711</v>
      </c>
      <c r="X72" s="51">
        <f t="shared" si="10"/>
        <v>-2.8595225891619669E-2</v>
      </c>
      <c r="Y72" s="51">
        <f t="shared" si="10"/>
        <v>-0.111420078492527</v>
      </c>
      <c r="Z72" s="51">
        <f t="shared" si="10"/>
        <v>-0.13507386311802316</v>
      </c>
      <c r="AA72" s="51">
        <f t="shared" si="10"/>
        <v>3.9589664462535978E-3</v>
      </c>
      <c r="AB72" s="51">
        <f t="shared" si="10"/>
        <v>0.99965393176697437</v>
      </c>
      <c r="AC72" s="34">
        <f t="shared" si="14"/>
        <v>1358.4871873578229</v>
      </c>
      <c r="AD72" s="36">
        <f t="shared" si="14"/>
        <v>13474.065527011106</v>
      </c>
      <c r="AE72" s="35">
        <f t="shared" si="14"/>
        <v>91.735000937496537</v>
      </c>
      <c r="AF72" s="35">
        <f t="shared" si="14"/>
        <v>104.20129491992928</v>
      </c>
      <c r="AG72" s="35">
        <f t="shared" si="14"/>
        <v>268.97991456471641</v>
      </c>
      <c r="AH72" s="35">
        <f t="shared" si="14"/>
        <v>166.98910739169972</v>
      </c>
      <c r="AI72" s="35">
        <f t="shared" si="14"/>
        <v>559.51426712242323</v>
      </c>
      <c r="AJ72" s="51">
        <f>'Data Descriptors 2'!$V72-'Data Descriptors 2'!$X72</f>
        <v>7.4719053587226303E-2</v>
      </c>
      <c r="AK72" s="51">
        <f>'Data Descriptors 2'!$V72-'Data Descriptors 2'!$Y72</f>
        <v>0.15754390618813363</v>
      </c>
    </row>
    <row r="73" spans="1:37">
      <c r="A73" s="32">
        <v>1980</v>
      </c>
      <c r="B73" s="33">
        <f>('[1]S&amp;P 500 &amp; Raw Data'!B56-'[1]S&amp;P 500 &amp; Raw Data'!B55+'[1]S&amp;P 500 &amp; Raw Data'!C56)/'[1]S&amp;P 500 &amp; Raw Data'!B55</f>
        <v>0.3173524550676301</v>
      </c>
      <c r="C73" s="33">
        <f>'[1]Small Cap'!B54</f>
        <v>0.42409999999999998</v>
      </c>
      <c r="D73" s="33">
        <f>'[1]T. Bill rates'!C58</f>
        <v>0.1139188</v>
      </c>
      <c r="E73" s="33">
        <f>'[1]S&amp;P 500 &amp; Raw Data'!F56</f>
        <v>-2.989744251999403E-2</v>
      </c>
      <c r="F73" s="33">
        <f>'[1]S&amp;P 500 &amp; Raw Data'!J56</f>
        <v>-3.3156783371910456E-2</v>
      </c>
      <c r="G73" s="33">
        <f>'[1]Home Prices'!B56/'[1]Home Prices'!B55-1</f>
        <v>7.3968672635987165E-2</v>
      </c>
      <c r="H73" s="33">
        <f>'[1]Gold Prices'!B55/'[1]Gold Prices'!B54-1</f>
        <v>0.15185546875</v>
      </c>
      <c r="I73" s="34">
        <f t="shared" si="13"/>
        <v>7934.2637789341807</v>
      </c>
      <c r="J73" s="35">
        <f t="shared" si="13"/>
        <v>85072.313698658487</v>
      </c>
      <c r="K73" s="35">
        <f t="shared" si="13"/>
        <v>453.04120772644796</v>
      </c>
      <c r="L73" s="35">
        <f t="shared" si="13"/>
        <v>448.16699336164055</v>
      </c>
      <c r="M73" s="35">
        <f t="shared" si="13"/>
        <v>1152.9885879552935</v>
      </c>
      <c r="N73" s="35">
        <f t="shared" si="13"/>
        <v>795.11300968489923</v>
      </c>
      <c r="O73" s="35">
        <f t="shared" si="13"/>
        <v>2857.3158914728679</v>
      </c>
      <c r="P73" s="67">
        <f t="shared" si="0"/>
        <v>0.20343365506763011</v>
      </c>
      <c r="Q73" s="67">
        <f t="shared" si="1"/>
        <v>0.34724989758762415</v>
      </c>
      <c r="R73" s="68">
        <f>'Data Descriptors 2'!$C73-'Data Descriptors 2'!$B73</f>
        <v>0.10674754493236988</v>
      </c>
      <c r="S73" s="68">
        <f t="shared" si="2"/>
        <v>0.35050923843954057</v>
      </c>
      <c r="T73" s="68">
        <f t="shared" si="9"/>
        <v>5.7318705257589642E-2</v>
      </c>
      <c r="U73" s="69">
        <f>'[1]Inflation Rate'!C78</f>
        <v>0.125163</v>
      </c>
      <c r="V73" s="51">
        <f t="shared" si="10"/>
        <v>0.17081032265336682</v>
      </c>
      <c r="W73" s="51">
        <f t="shared" si="10"/>
        <v>0.26568328322207546</v>
      </c>
      <c r="X73" s="51">
        <f t="shared" si="10"/>
        <v>-9.993396512327446E-3</v>
      </c>
      <c r="Y73" s="51">
        <f t="shared" si="10"/>
        <v>-0.13781153710173011</v>
      </c>
      <c r="Z73" s="51">
        <f t="shared" si="10"/>
        <v>-0.14070830926000089</v>
      </c>
      <c r="AA73" s="51">
        <f t="shared" si="10"/>
        <v>-4.5499476399430749E-2</v>
      </c>
      <c r="AB73" s="51">
        <f t="shared" si="10"/>
        <v>2.3723201660559523E-2</v>
      </c>
      <c r="AC73" s="34">
        <f t="shared" si="14"/>
        <v>1590.5308221508774</v>
      </c>
      <c r="AD73" s="36">
        <f t="shared" si="14"/>
        <v>17053.899494576799</v>
      </c>
      <c r="AE73" s="35">
        <f t="shared" si="14"/>
        <v>90.818256699069408</v>
      </c>
      <c r="AF73" s="35">
        <f t="shared" si="14"/>
        <v>89.841154299023131</v>
      </c>
      <c r="AG73" s="35">
        <f t="shared" si="14"/>
        <v>231.13220556141567</v>
      </c>
      <c r="AH73" s="35">
        <f t="shared" si="14"/>
        <v>159.39119044096907</v>
      </c>
      <c r="AI73" s="35">
        <f t="shared" si="14"/>
        <v>572.78773691332867</v>
      </c>
      <c r="AJ73" s="51">
        <f>'Data Descriptors 2'!$V73-'Data Descriptors 2'!$X73</f>
        <v>0.18080371916569427</v>
      </c>
      <c r="AK73" s="51">
        <f>'Data Descriptors 2'!$V73-'Data Descriptors 2'!$Y73</f>
        <v>0.30862185975509693</v>
      </c>
    </row>
    <row r="74" spans="1:37">
      <c r="A74" s="32">
        <v>1981</v>
      </c>
      <c r="B74" s="33">
        <f>('[1]S&amp;P 500 &amp; Raw Data'!B57-'[1]S&amp;P 500 &amp; Raw Data'!B56+'[1]S&amp;P 500 &amp; Raw Data'!C57)/'[1]S&amp;P 500 &amp; Raw Data'!B56</f>
        <v>-4.7023902474955762E-2</v>
      </c>
      <c r="C74" s="33">
        <f>'[1]Small Cap'!B55</f>
        <v>-4.1399999999999999E-2</v>
      </c>
      <c r="D74" s="33">
        <f>'[1]T. Bill rates'!C59</f>
        <v>0.14036184738955823</v>
      </c>
      <c r="E74" s="33">
        <f>'[1]S&amp;P 500 &amp; Raw Data'!F57</f>
        <v>8.1992153358923542E-2</v>
      </c>
      <c r="F74" s="33">
        <f>'[1]S&amp;P 500 &amp; Raw Data'!J57</f>
        <v>8.4623994808912056E-2</v>
      </c>
      <c r="G74" s="33">
        <f>'[1]Home Prices'!B57/'[1]Home Prices'!B56-1</f>
        <v>5.0950062475763724E-2</v>
      </c>
      <c r="H74" s="33">
        <f>'[1]Gold Prices'!B56/'[1]Gold Prices'!B55-1</f>
        <v>-0.32598558711318359</v>
      </c>
      <c r="I74" s="34">
        <f t="shared" si="13"/>
        <v>7561.1637327830058</v>
      </c>
      <c r="J74" s="35">
        <f t="shared" si="13"/>
        <v>81550.319911534025</v>
      </c>
      <c r="K74" s="35">
        <f t="shared" si="13"/>
        <v>516.63090858652879</v>
      </c>
      <c r="L74" s="35">
        <f t="shared" si="13"/>
        <v>484.91317021175587</v>
      </c>
      <c r="M74" s="35">
        <f t="shared" si="13"/>
        <v>1250.5590882371571</v>
      </c>
      <c r="N74" s="35">
        <f t="shared" si="13"/>
        <v>835.62406720363742</v>
      </c>
      <c r="O74" s="35">
        <f t="shared" si="13"/>
        <v>1925.8720930232555</v>
      </c>
      <c r="P74" s="67">
        <f t="shared" si="0"/>
        <v>-0.18738574986451401</v>
      </c>
      <c r="Q74" s="67">
        <f t="shared" si="1"/>
        <v>-0.12901605583387932</v>
      </c>
      <c r="R74" s="68">
        <f>'Data Descriptors 2'!$C74-'Data Descriptors 2'!$B74</f>
        <v>5.6239024749557623E-3</v>
      </c>
      <c r="S74" s="68">
        <f t="shared" si="2"/>
        <v>-0.13164789728386783</v>
      </c>
      <c r="T74" s="68">
        <f t="shared" si="9"/>
        <v>5.3730990468644491E-2</v>
      </c>
      <c r="U74" s="69">
        <f>'[1]Inflation Rate'!C79</f>
        <v>8.92236E-2</v>
      </c>
      <c r="V74" s="51">
        <f t="shared" si="10"/>
        <v>-0.12508680722209453</v>
      </c>
      <c r="W74" s="51">
        <f t="shared" si="10"/>
        <v>-0.11992358593772656</v>
      </c>
      <c r="X74" s="51">
        <f t="shared" si="10"/>
        <v>4.694926495308982E-2</v>
      </c>
      <c r="Y74" s="51">
        <f t="shared" si="10"/>
        <v>-6.63908369326216E-3</v>
      </c>
      <c r="Z74" s="51">
        <f t="shared" si="10"/>
        <v>-4.2228291703263476E-3</v>
      </c>
      <c r="AA74" s="51">
        <f t="shared" si="10"/>
        <v>-3.513836601064857E-2</v>
      </c>
      <c r="AB74" s="51">
        <f t="shared" si="10"/>
        <v>-0.38119738418556448</v>
      </c>
      <c r="AC74" s="34">
        <f t="shared" si="14"/>
        <v>1391.576399819691</v>
      </c>
      <c r="AD74" s="36">
        <f t="shared" si="14"/>
        <v>15008.734712965566</v>
      </c>
      <c r="AE74" s="35">
        <f t="shared" si="14"/>
        <v>95.082107095411743</v>
      </c>
      <c r="AF74" s="35">
        <f t="shared" si="14"/>
        <v>89.244691356532641</v>
      </c>
      <c r="AG74" s="35">
        <f t="shared" si="14"/>
        <v>230.15617374156906</v>
      </c>
      <c r="AH74" s="35">
        <f t="shared" si="14"/>
        <v>153.79044445238131</v>
      </c>
      <c r="AI74" s="35">
        <f t="shared" si="14"/>
        <v>354.44254990839846</v>
      </c>
      <c r="AJ74" s="51">
        <f>'Data Descriptors 2'!$V74-'Data Descriptors 2'!$X74</f>
        <v>-0.17203607217518435</v>
      </c>
      <c r="AK74" s="51">
        <f>'Data Descriptors 2'!$V74-'Data Descriptors 2'!$Y74</f>
        <v>-0.11844772352883237</v>
      </c>
    </row>
    <row r="75" spans="1:37">
      <c r="A75" s="32">
        <v>1982</v>
      </c>
      <c r="B75" s="33">
        <f>('[1]S&amp;P 500 &amp; Raw Data'!B58-'[1]S&amp;P 500 &amp; Raw Data'!B57+'[1]S&amp;P 500 &amp; Raw Data'!C58)/'[1]S&amp;P 500 &amp; Raw Data'!B57</f>
        <v>0.20419055079559353</v>
      </c>
      <c r="C75" s="33">
        <f>'[1]Small Cap'!B56</f>
        <v>0.27110000000000001</v>
      </c>
      <c r="D75" s="33">
        <f>'[1]T. Bill rates'!C60</f>
        <v>0.10603413654618475</v>
      </c>
      <c r="E75" s="33">
        <f>'[1]S&amp;P 500 &amp; Raw Data'!F58</f>
        <v>0.32814549486295586</v>
      </c>
      <c r="F75" s="33">
        <f>'[1]S&amp;P 500 &amp; Raw Data'!J58</f>
        <v>0.2905245565590866</v>
      </c>
      <c r="G75" s="33">
        <f>'[1]Home Prices'!B58/'[1]Home Prices'!B57-1</f>
        <v>5.6372096837011831E-3</v>
      </c>
      <c r="H75" s="33">
        <f>'[1]Gold Prices'!B57/'[1]Gold Prices'!B56-1</f>
        <v>0.15622641509433977</v>
      </c>
      <c r="I75" s="34">
        <f t="shared" si="13"/>
        <v>9105.0819200356327</v>
      </c>
      <c r="J75" s="35">
        <f t="shared" si="13"/>
        <v>103658.6116395509</v>
      </c>
      <c r="K75" s="35">
        <f t="shared" si="13"/>
        <v>571.41142089157233</v>
      </c>
      <c r="L75" s="35">
        <f t="shared" si="13"/>
        <v>644.03524241645721</v>
      </c>
      <c r="M75" s="35">
        <f t="shared" si="13"/>
        <v>1613.8772127981929</v>
      </c>
      <c r="N75" s="35">
        <f t="shared" si="13"/>
        <v>840.33465528721149</v>
      </c>
      <c r="O75" s="35">
        <f t="shared" si="13"/>
        <v>2226.7441860465115</v>
      </c>
      <c r="P75" s="67">
        <f t="shared" si="0"/>
        <v>9.8156414249408783E-2</v>
      </c>
      <c r="Q75" s="67">
        <f t="shared" si="1"/>
        <v>-0.12395494406736232</v>
      </c>
      <c r="R75" s="68">
        <f>'Data Descriptors 2'!$C75-'Data Descriptors 2'!$B75</f>
        <v>6.6909449204406474E-2</v>
      </c>
      <c r="S75" s="68">
        <f t="shared" si="2"/>
        <v>-8.6334005763493066E-2</v>
      </c>
      <c r="T75" s="68">
        <f t="shared" si="9"/>
        <v>5.1038688692139678E-2</v>
      </c>
      <c r="U75" s="69">
        <f>'[1]Inflation Rate'!C80</f>
        <v>3.8297900000000003E-2</v>
      </c>
      <c r="V75" s="51">
        <f t="shared" si="10"/>
        <v>0.15977365532145771</v>
      </c>
      <c r="W75" s="51">
        <f t="shared" si="10"/>
        <v>0.22421513132213788</v>
      </c>
      <c r="X75" s="51">
        <f t="shared" si="10"/>
        <v>6.5237767066835595E-2</v>
      </c>
      <c r="Y75" s="51">
        <f t="shared" si="10"/>
        <v>0.27915648761589118</v>
      </c>
      <c r="Z75" s="51">
        <f t="shared" si="10"/>
        <v>0.24292320783764132</v>
      </c>
      <c r="AA75" s="51">
        <f t="shared" si="10"/>
        <v>-3.1455991884697942E-2</v>
      </c>
      <c r="AB75" s="51">
        <f t="shared" si="10"/>
        <v>0.11357868979060792</v>
      </c>
      <c r="AC75" s="34">
        <f t="shared" si="14"/>
        <v>1613.9136478779574</v>
      </c>
      <c r="AD75" s="36">
        <f t="shared" si="14"/>
        <v>18373.920137612269</v>
      </c>
      <c r="AE75" s="35">
        <f t="shared" si="14"/>
        <v>101.28505145032614</v>
      </c>
      <c r="AF75" s="35">
        <f t="shared" si="14"/>
        <v>114.15792593398658</v>
      </c>
      <c r="AG75" s="35">
        <f t="shared" si="14"/>
        <v>286.06644977050854</v>
      </c>
      <c r="AH75" s="35">
        <f t="shared" si="14"/>
        <v>148.9528134797431</v>
      </c>
      <c r="AI75" s="35">
        <f t="shared" si="14"/>
        <v>394.69967033303652</v>
      </c>
      <c r="AJ75" s="51">
        <f>'Data Descriptors 2'!$V75-'Data Descriptors 2'!$X75</f>
        <v>9.4535888254622114E-2</v>
      </c>
      <c r="AK75" s="51">
        <f>'Data Descriptors 2'!$V75-'Data Descriptors 2'!$Y75</f>
        <v>-0.11938283229443347</v>
      </c>
    </row>
    <row r="76" spans="1:37">
      <c r="A76" s="32">
        <v>1983</v>
      </c>
      <c r="B76" s="33">
        <f>('[1]S&amp;P 500 &amp; Raw Data'!B59-'[1]S&amp;P 500 &amp; Raw Data'!B58+'[1]S&amp;P 500 &amp; Raw Data'!C59)/'[1]S&amp;P 500 &amp; Raw Data'!B58</f>
        <v>0.22337155858930619</v>
      </c>
      <c r="C76" s="33">
        <f>'[1]Small Cap'!B57</f>
        <v>0.35859999999999997</v>
      </c>
      <c r="D76" s="33">
        <f>'[1]T. Bill rates'!C61</f>
        <v>8.61764E-2</v>
      </c>
      <c r="E76" s="33">
        <f>'[1]S&amp;P 500 &amp; Raw Data'!F59</f>
        <v>3.2002094451429264E-2</v>
      </c>
      <c r="F76" s="33">
        <f>'[1]S&amp;P 500 &amp; Raw Data'!J59</f>
        <v>0.16194289622798344</v>
      </c>
      <c r="G76" s="33">
        <f>'[1]Home Prices'!B59/'[1]Home Prices'!B58-1</f>
        <v>4.7494802071017972E-2</v>
      </c>
      <c r="H76" s="33">
        <f>'[1]Gold Prices'!B58/'[1]Gold Prices'!B57-1</f>
        <v>-0.16797214969538743</v>
      </c>
      <c r="I76" s="34">
        <f t="shared" si="13"/>
        <v>11138.898259597305</v>
      </c>
      <c r="J76" s="35">
        <f t="shared" si="13"/>
        <v>140830.58977349385</v>
      </c>
      <c r="K76" s="35">
        <f t="shared" si="13"/>
        <v>620.65360006289291</v>
      </c>
      <c r="L76" s="35">
        <f t="shared" si="13"/>
        <v>664.64571907431775</v>
      </c>
      <c r="M76" s="35">
        <f t="shared" si="13"/>
        <v>1875.2331627950778</v>
      </c>
      <c r="N76" s="35">
        <f t="shared" si="13"/>
        <v>880.24618341349469</v>
      </c>
      <c r="O76" s="35">
        <f t="shared" si="13"/>
        <v>1852.7131782945733</v>
      </c>
      <c r="P76" s="67">
        <f t="shared" si="0"/>
        <v>0.1371951585893062</v>
      </c>
      <c r="Q76" s="67">
        <f t="shared" si="1"/>
        <v>0.19136946413787692</v>
      </c>
      <c r="R76" s="68">
        <f>'Data Descriptors 2'!$C76-'Data Descriptors 2'!$B76</f>
        <v>0.13522844141069379</v>
      </c>
      <c r="S76" s="68">
        <f t="shared" si="2"/>
        <v>6.1428662361322744E-2</v>
      </c>
      <c r="T76" s="68">
        <f t="shared" si="9"/>
        <v>5.3402830654563971E-2</v>
      </c>
      <c r="U76" s="69">
        <f>'[1]Inflation Rate'!C81</f>
        <v>3.79098E-2</v>
      </c>
      <c r="V76" s="51">
        <f t="shared" si="10"/>
        <v>0.17868774202662507</v>
      </c>
      <c r="W76" s="51">
        <f t="shared" si="10"/>
        <v>0.30897694578083756</v>
      </c>
      <c r="X76" s="51">
        <f t="shared" si="10"/>
        <v>4.6503655712664127E-2</v>
      </c>
      <c r="Y76" s="51">
        <f t="shared" si="10"/>
        <v>-5.6919257806129497E-3</v>
      </c>
      <c r="Z76" s="51">
        <f t="shared" si="10"/>
        <v>0.11950277011353339</v>
      </c>
      <c r="AA76" s="51">
        <f t="shared" si="10"/>
        <v>9.2349085354217486E-3</v>
      </c>
      <c r="AB76" s="51">
        <f t="shared" si="10"/>
        <v>-0.19836208280853251</v>
      </c>
      <c r="AC76" s="34">
        <f t="shared" si="14"/>
        <v>1902.3002334432233</v>
      </c>
      <c r="AD76" s="36">
        <f t="shared" si="14"/>
        <v>24051.037863752736</v>
      </c>
      <c r="AE76" s="35">
        <f t="shared" si="14"/>
        <v>105.99517661181157</v>
      </c>
      <c r="AF76" s="35">
        <f t="shared" si="14"/>
        <v>113.50814749230162</v>
      </c>
      <c r="AG76" s="35">
        <f t="shared" si="14"/>
        <v>320.25218295462827</v>
      </c>
      <c r="AH76" s="35">
        <f t="shared" si="14"/>
        <v>150.32837908832227</v>
      </c>
      <c r="AI76" s="35">
        <f t="shared" si="14"/>
        <v>316.40622164193422</v>
      </c>
      <c r="AJ76" s="51">
        <f>'Data Descriptors 2'!$V76-'Data Descriptors 2'!$X76</f>
        <v>0.13218408631396095</v>
      </c>
      <c r="AK76" s="51">
        <f>'Data Descriptors 2'!$V76-'Data Descriptors 2'!$Y76</f>
        <v>0.18437966780723802</v>
      </c>
    </row>
    <row r="77" spans="1:37">
      <c r="A77" s="32">
        <v>1984</v>
      </c>
      <c r="B77" s="33">
        <f>('[1]S&amp;P 500 &amp; Raw Data'!B60-'[1]S&amp;P 500 &amp; Raw Data'!B59+'[1]S&amp;P 500 &amp; Raw Data'!C60)/'[1]S&amp;P 500 &amp; Raw Data'!B59</f>
        <v>6.14614199963621E-2</v>
      </c>
      <c r="C77" s="33">
        <f>'[1]Small Cap'!B58</f>
        <v>-0.1452</v>
      </c>
      <c r="D77" s="33">
        <f>'[1]T. Bill rates'!C62</f>
        <v>9.5402811244979929E-2</v>
      </c>
      <c r="E77" s="33">
        <f>'[1]S&amp;P 500 &amp; Raw Data'!F60</f>
        <v>0.13733364344102345</v>
      </c>
      <c r="F77" s="33">
        <f>'[1]S&amp;P 500 &amp; Raw Data'!J60</f>
        <v>0.15619207332454216</v>
      </c>
      <c r="G77" s="33">
        <f>'[1]Home Prices'!B60/'[1]Home Prices'!B59-1</f>
        <v>4.6781349731454869E-2</v>
      </c>
      <c r="H77" s="33">
        <f>'[1]Gold Prices'!B59/'[1]Gold Prices'!B58-1</f>
        <v>-0.193776150627615</v>
      </c>
      <c r="I77" s="34">
        <f t="shared" si="13"/>
        <v>11823.510763827162</v>
      </c>
      <c r="J77" s="35">
        <f t="shared" si="13"/>
        <v>120381.98813838254</v>
      </c>
      <c r="K77" s="35">
        <f t="shared" si="13"/>
        <v>679.86569831821032</v>
      </c>
      <c r="L77" s="35">
        <f t="shared" si="13"/>
        <v>755.92393727227272</v>
      </c>
      <c r="M77" s="35">
        <f t="shared" si="13"/>
        <v>2168.1297184589794</v>
      </c>
      <c r="N77" s="35">
        <f t="shared" si="13"/>
        <v>921.4252879695398</v>
      </c>
      <c r="O77" s="35">
        <f t="shared" si="13"/>
        <v>1493.7015503875966</v>
      </c>
      <c r="P77" s="67">
        <f t="shared" si="0"/>
        <v>-3.3941391248617829E-2</v>
      </c>
      <c r="Q77" s="67">
        <f t="shared" si="1"/>
        <v>-7.5872223444661352E-2</v>
      </c>
      <c r="R77" s="68">
        <f>'Data Descriptors 2'!$C77-'Data Descriptors 2'!$B77</f>
        <v>-0.20666141999636209</v>
      </c>
      <c r="S77" s="68">
        <f t="shared" si="2"/>
        <v>-9.4730653328180064E-2</v>
      </c>
      <c r="T77" s="68">
        <f t="shared" si="9"/>
        <v>5.1212126318051387E-2</v>
      </c>
      <c r="U77" s="69">
        <f>'[1]Inflation Rate'!C82</f>
        <v>3.94867E-2</v>
      </c>
      <c r="V77" s="51">
        <f t="shared" si="10"/>
        <v>2.1139972253961581E-2</v>
      </c>
      <c r="W77" s="51">
        <f t="shared" si="10"/>
        <v>-0.17767105630115332</v>
      </c>
      <c r="X77" s="51">
        <f t="shared" si="10"/>
        <v>5.3792041057360018E-2</v>
      </c>
      <c r="Y77" s="51">
        <f t="shared" si="10"/>
        <v>9.4130058076763667E-2</v>
      </c>
      <c r="Z77" s="51">
        <f t="shared" si="10"/>
        <v>0.11227211788716684</v>
      </c>
      <c r="AA77" s="51">
        <f t="shared" si="10"/>
        <v>7.0175498459525976E-3</v>
      </c>
      <c r="AB77" s="51">
        <f t="shared" si="10"/>
        <v>-0.22440195783901329</v>
      </c>
      <c r="AC77" s="34">
        <f t="shared" si="14"/>
        <v>1942.5148075969178</v>
      </c>
      <c r="AD77" s="36">
        <f t="shared" si="14"/>
        <v>19777.864561360751</v>
      </c>
      <c r="AE77" s="35">
        <f t="shared" si="14"/>
        <v>111.69687350399627</v>
      </c>
      <c r="AF77" s="35">
        <f t="shared" si="14"/>
        <v>124.19267600793782</v>
      </c>
      <c r="AG77" s="35">
        <f t="shared" si="14"/>
        <v>356.20757379293281</v>
      </c>
      <c r="AH77" s="35">
        <f t="shared" si="14"/>
        <v>151.38331598183584</v>
      </c>
      <c r="AI77" s="35">
        <f t="shared" si="14"/>
        <v>245.40404603303941</v>
      </c>
      <c r="AJ77" s="51">
        <f>'Data Descriptors 2'!$V77-'Data Descriptors 2'!$X77</f>
        <v>-3.2652068803398437E-2</v>
      </c>
      <c r="AK77" s="51">
        <f>'Data Descriptors 2'!$V77-'Data Descriptors 2'!$Y77</f>
        <v>-7.2990085822802087E-2</v>
      </c>
    </row>
    <row r="78" spans="1:37">
      <c r="A78" s="32">
        <v>1985</v>
      </c>
      <c r="B78" s="33">
        <f>('[1]S&amp;P 500 &amp; Raw Data'!B61-'[1]S&amp;P 500 &amp; Raw Data'!B60+'[1]S&amp;P 500 &amp; Raw Data'!C61)/'[1]S&amp;P 500 &amp; Raw Data'!B60</f>
        <v>0.31235149485768948</v>
      </c>
      <c r="C78" s="33">
        <f>'[1]Small Cap'!B59</f>
        <v>0.25140000000000001</v>
      </c>
      <c r="D78" s="33">
        <f>'[1]T. Bill rates'!C63</f>
        <v>7.4711290322580642E-2</v>
      </c>
      <c r="E78" s="33">
        <f>'[1]S&amp;P 500 &amp; Raw Data'!F61</f>
        <v>0.2571248821260641</v>
      </c>
      <c r="F78" s="33">
        <f>'[1]S&amp;P 500 &amp; Raw Data'!J61</f>
        <v>0.23862641849916477</v>
      </c>
      <c r="G78" s="33">
        <f>'[1]Home Prices'!B61/'[1]Home Prices'!B60-1</f>
        <v>7.4713712076145189E-2</v>
      </c>
      <c r="H78" s="33">
        <f>'[1]Gold Prices'!B60/'[1]Gold Prices'!B59-1</f>
        <v>6.0006487187804103E-2</v>
      </c>
      <c r="I78" s="34">
        <f t="shared" si="13"/>
        <v>15516.602025374559</v>
      </c>
      <c r="J78" s="35">
        <f t="shared" si="13"/>
        <v>150646.01995637192</v>
      </c>
      <c r="K78" s="35">
        <f t="shared" si="13"/>
        <v>730.65934188562619</v>
      </c>
      <c r="L78" s="35">
        <f t="shared" si="13"/>
        <v>950.2907905396761</v>
      </c>
      <c r="M78" s="35">
        <f t="shared" si="13"/>
        <v>2685.5027480164476</v>
      </c>
      <c r="N78" s="35">
        <f t="shared" si="13"/>
        <v>990.26839163457521</v>
      </c>
      <c r="O78" s="35">
        <f t="shared" si="13"/>
        <v>1583.333333333333</v>
      </c>
      <c r="P78" s="67">
        <f t="shared" si="0"/>
        <v>0.23764020453510884</v>
      </c>
      <c r="Q78" s="67">
        <f t="shared" si="1"/>
        <v>5.522661273162538E-2</v>
      </c>
      <c r="R78" s="68">
        <f>'Data Descriptors 2'!$C78-'Data Descriptors 2'!$B78</f>
        <v>-6.095149485768947E-2</v>
      </c>
      <c r="S78" s="68">
        <f t="shared" si="2"/>
        <v>7.372507635852471E-2</v>
      </c>
      <c r="T78" s="68">
        <f t="shared" si="9"/>
        <v>5.1284365102581608E-2</v>
      </c>
      <c r="U78" s="69">
        <f>'[1]Inflation Rate'!C83</f>
        <v>3.7986699999999998E-2</v>
      </c>
      <c r="V78" s="51">
        <f t="shared" si="10"/>
        <v>0.26432399842665566</v>
      </c>
      <c r="W78" s="51">
        <f t="shared" si="10"/>
        <v>0.20560311610929127</v>
      </c>
      <c r="X78" s="51">
        <f t="shared" si="10"/>
        <v>3.5380598154658882E-2</v>
      </c>
      <c r="Y78" s="51">
        <f t="shared" si="10"/>
        <v>0.21111848747779138</v>
      </c>
      <c r="Z78" s="51">
        <f t="shared" si="10"/>
        <v>0.19329700322669319</v>
      </c>
      <c r="AA78" s="51">
        <f t="shared" si="10"/>
        <v>3.5382931280473207E-2</v>
      </c>
      <c r="AB78" s="51">
        <f t="shared" si="10"/>
        <v>2.12139396273614E-2</v>
      </c>
      <c r="AC78" s="34">
        <f t="shared" si="14"/>
        <v>2455.9680885439207</v>
      </c>
      <c r="AD78" s="36">
        <f t="shared" si="14"/>
        <v>23844.255145164043</v>
      </c>
      <c r="AE78" s="35">
        <f t="shared" si="14"/>
        <v>115.64877570057293</v>
      </c>
      <c r="AF78" s="35">
        <f t="shared" si="14"/>
        <v>150.41204592255303</v>
      </c>
      <c r="AG78" s="35">
        <f t="shared" si="14"/>
        <v>425.06143033375787</v>
      </c>
      <c r="AH78" s="35">
        <f t="shared" si="14"/>
        <v>156.7397014482313</v>
      </c>
      <c r="AI78" s="35">
        <f t="shared" si="14"/>
        <v>250.61003264989452</v>
      </c>
      <c r="AJ78" s="51">
        <f>'Data Descriptors 2'!$V78-'Data Descriptors 2'!$X78</f>
        <v>0.22894340027199678</v>
      </c>
      <c r="AK78" s="51">
        <f>'Data Descriptors 2'!$V78-'Data Descriptors 2'!$Y78</f>
        <v>5.3205510948864276E-2</v>
      </c>
    </row>
    <row r="79" spans="1:37">
      <c r="A79" s="32">
        <v>1986</v>
      </c>
      <c r="B79" s="33">
        <f>('[1]S&amp;P 500 &amp; Raw Data'!B62-'[1]S&amp;P 500 &amp; Raw Data'!B61+'[1]S&amp;P 500 &amp; Raw Data'!C62)/'[1]S&amp;P 500 &amp; Raw Data'!B61</f>
        <v>0.18494578758046187</v>
      </c>
      <c r="C79" s="33">
        <f>'[1]Small Cap'!B60</f>
        <v>2.1600000000000001E-2</v>
      </c>
      <c r="D79" s="33">
        <f>'[1]T. Bill rates'!C64</f>
        <v>5.9692800000000004E-2</v>
      </c>
      <c r="E79" s="33">
        <f>'[1]S&amp;P 500 &amp; Raw Data'!F62</f>
        <v>0.24284215141767618</v>
      </c>
      <c r="F79" s="33">
        <f>'[1]S&amp;P 500 &amp; Raw Data'!J62</f>
        <v>0.21354060117746398</v>
      </c>
      <c r="G79" s="33">
        <f>'[1]Home Prices'!B62/'[1]Home Prices'!B61-1</f>
        <v>9.6123575098164826E-2</v>
      </c>
      <c r="H79" s="33">
        <f>'[1]Gold Prices'!B61/'[1]Gold Prices'!B60-1</f>
        <v>0.18956548347613222</v>
      </c>
      <c r="I79" s="34">
        <f t="shared" si="13"/>
        <v>18386.332207530046</v>
      </c>
      <c r="J79" s="35">
        <f t="shared" si="13"/>
        <v>153899.97398742958</v>
      </c>
      <c r="K79" s="35">
        <f t="shared" si="13"/>
        <v>774.27444384893658</v>
      </c>
      <c r="L79" s="35">
        <f t="shared" si="13"/>
        <v>1181.0614505867354</v>
      </c>
      <c r="M79" s="35">
        <f t="shared" si="13"/>
        <v>3258.9666192916111</v>
      </c>
      <c r="N79" s="35">
        <f t="shared" si="13"/>
        <v>1085.4565297452002</v>
      </c>
      <c r="O79" s="35">
        <f t="shared" si="13"/>
        <v>1883.4786821705422</v>
      </c>
      <c r="P79" s="67">
        <f t="shared" si="0"/>
        <v>0.12525298758046188</v>
      </c>
      <c r="Q79" s="67">
        <f t="shared" si="1"/>
        <v>-5.7896363837214304E-2</v>
      </c>
      <c r="R79" s="68">
        <f>'Data Descriptors 2'!$C79-'Data Descriptors 2'!$B79</f>
        <v>-0.16334578758046187</v>
      </c>
      <c r="S79" s="68">
        <f t="shared" si="2"/>
        <v>-2.8594813597002111E-2</v>
      </c>
      <c r="T79" s="68">
        <f t="shared" si="9"/>
        <v>4.9663565599739057E-2</v>
      </c>
      <c r="U79" s="69">
        <f>'[1]Inflation Rate'!C84</f>
        <v>1.0979000000000001E-2</v>
      </c>
      <c r="V79" s="51">
        <f t="shared" si="10"/>
        <v>0.17207754817900445</v>
      </c>
      <c r="W79" s="51">
        <f t="shared" si="10"/>
        <v>1.0505658376682492E-2</v>
      </c>
      <c r="X79" s="51">
        <f t="shared" si="10"/>
        <v>4.818477930797771E-2</v>
      </c>
      <c r="Y79" s="51">
        <f t="shared" si="10"/>
        <v>0.22934517078759908</v>
      </c>
      <c r="Z79" s="51">
        <f t="shared" si="10"/>
        <v>0.20036182866059904</v>
      </c>
      <c r="AA79" s="51">
        <f t="shared" si="10"/>
        <v>8.4219924546568015E-2</v>
      </c>
      <c r="AB79" s="51">
        <f t="shared" si="10"/>
        <v>0.17664707523710388</v>
      </c>
      <c r="AC79" s="34">
        <f t="shared" si="14"/>
        <v>2878.5850556264345</v>
      </c>
      <c r="AD79" s="36">
        <f t="shared" si="14"/>
        <v>24094.75474396559</v>
      </c>
      <c r="AE79" s="35">
        <f t="shared" si="14"/>
        <v>121.22128643494285</v>
      </c>
      <c r="AF79" s="35">
        <f t="shared" si="14"/>
        <v>184.90832228317316</v>
      </c>
      <c r="AG79" s="35">
        <f t="shared" si="14"/>
        <v>510.2275158085194</v>
      </c>
      <c r="AH79" s="35">
        <f t="shared" si="14"/>
        <v>169.94030727765295</v>
      </c>
      <c r="AI79" s="35">
        <f t="shared" si="14"/>
        <v>294.8795619425735</v>
      </c>
      <c r="AJ79" s="51">
        <f>'Data Descriptors 2'!$V79-'Data Descriptors 2'!$X79</f>
        <v>0.12389276887102674</v>
      </c>
      <c r="AK79" s="51">
        <f>'Data Descriptors 2'!$V79-'Data Descriptors 2'!$Y79</f>
        <v>-5.7267622608594637E-2</v>
      </c>
    </row>
    <row r="80" spans="1:37">
      <c r="A80" s="32">
        <v>1987</v>
      </c>
      <c r="B80" s="33">
        <f>('[1]S&amp;P 500 &amp; Raw Data'!B63-'[1]S&amp;P 500 &amp; Raw Data'!B62+'[1]S&amp;P 500 &amp; Raw Data'!C63)/'[1]S&amp;P 500 &amp; Raw Data'!B62</f>
        <v>5.8127216418218712E-2</v>
      </c>
      <c r="C80" s="33">
        <f>'[1]Small Cap'!B61</f>
        <v>-0.14029999999999998</v>
      </c>
      <c r="D80" s="33">
        <f>'[1]T. Bill rates'!C65</f>
        <v>5.7773600000000001E-2</v>
      </c>
      <c r="E80" s="33">
        <f>'[1]S&amp;P 500 &amp; Raw Data'!F63</f>
        <v>-4.9605089379262279E-2</v>
      </c>
      <c r="F80" s="33">
        <f>'[1]S&amp;P 500 &amp; Raw Data'!J63</f>
        <v>2.8125853555458283E-2</v>
      </c>
      <c r="G80" s="33">
        <f>'[1]Home Prices'!B63/'[1]Home Prices'!B62-1</f>
        <v>7.8493877035726189E-2</v>
      </c>
      <c r="H80" s="33">
        <f>'[1]Gold Prices'!B62/'[1]Gold Prices'!B61-1</f>
        <v>0.24527331189710622</v>
      </c>
      <c r="I80" s="34">
        <f t="shared" si="13"/>
        <v>19455.07851889441</v>
      </c>
      <c r="J80" s="35">
        <f t="shared" si="13"/>
        <v>132307.80763699321</v>
      </c>
      <c r="K80" s="35">
        <f t="shared" si="13"/>
        <v>819.00706585808746</v>
      </c>
      <c r="L80" s="35">
        <f t="shared" si="13"/>
        <v>1122.4747917679792</v>
      </c>
      <c r="M80" s="35">
        <f t="shared" si="13"/>
        <v>3350.6278371679336</v>
      </c>
      <c r="N80" s="35">
        <f t="shared" si="13"/>
        <v>1170.658221118646</v>
      </c>
      <c r="O80" s="35">
        <f t="shared" si="13"/>
        <v>2345.4457364341083</v>
      </c>
      <c r="P80" s="67">
        <f t="shared" si="0"/>
        <v>3.536164182187107E-4</v>
      </c>
      <c r="Q80" s="67">
        <f t="shared" si="1"/>
        <v>0.107732305797481</v>
      </c>
      <c r="R80" s="68">
        <f>'Data Descriptors 2'!$C80-'Data Descriptors 2'!$B80</f>
        <v>-0.1984272164182187</v>
      </c>
      <c r="S80" s="68">
        <f t="shared" si="2"/>
        <v>3.0001362862760429E-2</v>
      </c>
      <c r="T80" s="68">
        <f t="shared" si="9"/>
        <v>5.0693590437507208E-2</v>
      </c>
      <c r="U80" s="69">
        <f>'[1]Inflation Rate'!C85</f>
        <v>4.4343899999999999E-2</v>
      </c>
      <c r="V80" s="51">
        <f t="shared" si="10"/>
        <v>1.3198062839471447E-2</v>
      </c>
      <c r="W80" s="51">
        <f t="shared" si="10"/>
        <v>-0.1768037329465898</v>
      </c>
      <c r="X80" s="51">
        <f t="shared" si="10"/>
        <v>1.2859461332612732E-2</v>
      </c>
      <c r="Y80" s="51">
        <f t="shared" si="10"/>
        <v>-8.9959820112189504E-2</v>
      </c>
      <c r="Z80" s="51">
        <f t="shared" si="10"/>
        <v>-1.552941176229572E-2</v>
      </c>
      <c r="AA80" s="51">
        <f t="shared" si="10"/>
        <v>3.2699934414062382E-2</v>
      </c>
      <c r="AB80" s="51">
        <f t="shared" si="10"/>
        <v>0.1923977455099859</v>
      </c>
      <c r="AC80" s="34">
        <f t="shared" si="14"/>
        <v>2916.5768020793557</v>
      </c>
      <c r="AD80" s="36">
        <f t="shared" si="14"/>
        <v>19834.712160799922</v>
      </c>
      <c r="AE80" s="35">
        <f t="shared" si="14"/>
        <v>122.78012688054257</v>
      </c>
      <c r="AF80" s="35">
        <f t="shared" si="14"/>
        <v>168.27400287333214</v>
      </c>
      <c r="AG80" s="35">
        <f t="shared" si="14"/>
        <v>502.30398262307563</v>
      </c>
      <c r="AH80" s="35">
        <f t="shared" si="14"/>
        <v>175.49734417993781</v>
      </c>
      <c r="AI80" s="35">
        <f t="shared" si="14"/>
        <v>351.61372485729686</v>
      </c>
      <c r="AJ80" s="51">
        <f>'Data Descriptors 2'!$V80-'Data Descriptors 2'!$X80</f>
        <v>3.386015068587156E-4</v>
      </c>
      <c r="AK80" s="51">
        <f>'Data Descriptors 2'!$V80-'Data Descriptors 2'!$Y80</f>
        <v>0.10315788295166095</v>
      </c>
    </row>
    <row r="81" spans="1:37">
      <c r="A81" s="32">
        <v>1988</v>
      </c>
      <c r="B81" s="33">
        <f>('[1]S&amp;P 500 &amp; Raw Data'!B64-'[1]S&amp;P 500 &amp; Raw Data'!B63+'[1]S&amp;P 500 &amp; Raw Data'!C64)/'[1]S&amp;P 500 &amp; Raw Data'!B63</f>
        <v>0.16537192812044688</v>
      </c>
      <c r="C81" s="33">
        <f>'[1]Small Cap'!B62</f>
        <v>0.17370000000000002</v>
      </c>
      <c r="D81" s="33">
        <f>'[1]T. Bill rates'!C66</f>
        <v>6.6684400000000005E-2</v>
      </c>
      <c r="E81" s="33">
        <f>'[1]S&amp;P 500 &amp; Raw Data'!F64</f>
        <v>8.2235958434841674E-2</v>
      </c>
      <c r="F81" s="33">
        <f>'[1]S&amp;P 500 &amp; Raw Data'!J64</f>
        <v>0.14382285179475657</v>
      </c>
      <c r="G81" s="33">
        <f>'[1]Home Prices'!B64/'[1]Home Prices'!B63-1</f>
        <v>7.221035380878682E-2</v>
      </c>
      <c r="H81" s="33">
        <f>'[1]Gold Prices'!B63/'[1]Gold Prices'!B62-1</f>
        <v>-0.15255112580045449</v>
      </c>
      <c r="I81" s="34">
        <f t="shared" si="13"/>
        <v>22672.402365298665</v>
      </c>
      <c r="J81" s="35">
        <f t="shared" si="13"/>
        <v>155289.67382353893</v>
      </c>
      <c r="K81" s="35">
        <f t="shared" si="13"/>
        <v>873.62206064059444</v>
      </c>
      <c r="L81" s="35">
        <f t="shared" si="13"/>
        <v>1214.7825820879684</v>
      </c>
      <c r="M81" s="35">
        <f t="shared" si="13"/>
        <v>3832.5246880123232</v>
      </c>
      <c r="N81" s="35">
        <f t="shared" si="13"/>
        <v>1255.1918654547885</v>
      </c>
      <c r="O81" s="35">
        <f t="shared" si="13"/>
        <v>1987.645348837209</v>
      </c>
      <c r="P81" s="67">
        <f t="shared" si="0"/>
        <v>9.8687528120446871E-2</v>
      </c>
      <c r="Q81" s="67">
        <f t="shared" si="1"/>
        <v>8.3135969685605202E-2</v>
      </c>
      <c r="R81" s="68">
        <f>'Data Descriptors 2'!$C81-'Data Descriptors 2'!$B81</f>
        <v>8.328071879553145E-3</v>
      </c>
      <c r="S81" s="68">
        <f t="shared" si="2"/>
        <v>2.1549076325690308E-2</v>
      </c>
      <c r="T81" s="68">
        <f t="shared" si="9"/>
        <v>5.1199933578993884E-2</v>
      </c>
      <c r="U81" s="69">
        <f>'[1]Inflation Rate'!C86</f>
        <v>4.41941E-2</v>
      </c>
      <c r="V81" s="51">
        <f t="shared" si="10"/>
        <v>0.11604914078756723</v>
      </c>
      <c r="W81" s="51">
        <f t="shared" si="10"/>
        <v>0.12402473831254168</v>
      </c>
      <c r="X81" s="51">
        <f t="shared" si="10"/>
        <v>2.1538428535460952E-2</v>
      </c>
      <c r="Y81" s="51">
        <f t="shared" si="10"/>
        <v>3.6431788337859761E-2</v>
      </c>
      <c r="Z81" s="51">
        <f t="shared" si="10"/>
        <v>9.5412099910118897E-2</v>
      </c>
      <c r="AA81" s="51">
        <f t="shared" si="10"/>
        <v>2.6830503839072595E-2</v>
      </c>
      <c r="AB81" s="51">
        <f t="shared" si="10"/>
        <v>-0.18841825078350316</v>
      </c>
      <c r="AC81" s="34">
        <f t="shared" si="14"/>
        <v>3255.0430340016155</v>
      </c>
      <c r="AD81" s="36">
        <f t="shared" si="14"/>
        <v>22294.70714604772</v>
      </c>
      <c r="AE81" s="35">
        <f t="shared" si="14"/>
        <v>125.42461786893396</v>
      </c>
      <c r="AF81" s="35">
        <f t="shared" si="14"/>
        <v>174.40452572877777</v>
      </c>
      <c r="AG81" s="35">
        <f t="shared" si="14"/>
        <v>550.22986039835916</v>
      </c>
      <c r="AH81" s="35">
        <f t="shared" si="14"/>
        <v>180.20602634670468</v>
      </c>
      <c r="AI81" s="35">
        <f t="shared" si="14"/>
        <v>285.36328186821299</v>
      </c>
      <c r="AJ81" s="51">
        <f>'Data Descriptors 2'!$V81-'Data Descriptors 2'!$X81</f>
        <v>9.4510712252106277E-2</v>
      </c>
      <c r="AK81" s="51">
        <f>'Data Descriptors 2'!$V81-'Data Descriptors 2'!$Y81</f>
        <v>7.9617352449707468E-2</v>
      </c>
    </row>
    <row r="82" spans="1:37">
      <c r="A82" s="32">
        <v>1989</v>
      </c>
      <c r="B82" s="33">
        <f>('[1]S&amp;P 500 &amp; Raw Data'!B65-'[1]S&amp;P 500 &amp; Raw Data'!B64+'[1]S&amp;P 500 &amp; Raw Data'!C65)/'[1]S&amp;P 500 &amp; Raw Data'!B64</f>
        <v>0.31475183638196724</v>
      </c>
      <c r="C82" s="33">
        <f>'[1]Small Cap'!B63</f>
        <v>6.9500000000000006E-2</v>
      </c>
      <c r="D82" s="33">
        <f>'[1]T. Bill rates'!C67</f>
        <v>8.111560000000001E-2</v>
      </c>
      <c r="E82" s="33">
        <f>'[1]S&amp;P 500 &amp; Raw Data'!F65</f>
        <v>0.17693647159446219</v>
      </c>
      <c r="F82" s="33">
        <f>'[1]S&amp;P 500 &amp; Raw Data'!J65</f>
        <v>0.15948974901357249</v>
      </c>
      <c r="G82" s="33">
        <f>'[1]Home Prices'!B65/'[1]Home Prices'!B64-1</f>
        <v>4.3942847005199459E-2</v>
      </c>
      <c r="H82" s="33">
        <f>'[1]Gold Prices'!B64/'[1]Gold Prices'!B63-1</f>
        <v>-2.8397318708104802E-2</v>
      </c>
      <c r="I82" s="34">
        <f t="shared" si="13"/>
        <v>29808.582644967279</v>
      </c>
      <c r="J82" s="35">
        <f t="shared" si="13"/>
        <v>166082.30615427491</v>
      </c>
      <c r="K82" s="35">
        <f t="shared" si="13"/>
        <v>944.48643826269256</v>
      </c>
      <c r="L82" s="35">
        <f t="shared" si="13"/>
        <v>1429.7219259170236</v>
      </c>
      <c r="M82" s="35">
        <f t="shared" si="13"/>
        <v>4443.773088591729</v>
      </c>
      <c r="N82" s="35">
        <f t="shared" si="13"/>
        <v>1310.3485695606391</v>
      </c>
      <c r="O82" s="35">
        <f t="shared" si="13"/>
        <v>1931.2015503875966</v>
      </c>
      <c r="P82" s="67">
        <f t="shared" si="0"/>
        <v>0.23363623638196723</v>
      </c>
      <c r="Q82" s="67">
        <f t="shared" si="1"/>
        <v>0.13781536478750506</v>
      </c>
      <c r="R82" s="68">
        <f>'Data Descriptors 2'!$C82-'Data Descriptors 2'!$B82</f>
        <v>-0.24525183638196724</v>
      </c>
      <c r="S82" s="68">
        <f t="shared" si="2"/>
        <v>0.15526208736839475</v>
      </c>
      <c r="T82" s="68">
        <f t="shared" si="9"/>
        <v>5.240982169336883E-2</v>
      </c>
      <c r="U82" s="69">
        <f>'[1]Inflation Rate'!C87</f>
        <v>4.6473000000000007E-2</v>
      </c>
      <c r="V82" s="51">
        <f t="shared" si="10"/>
        <v>0.25636479525221123</v>
      </c>
      <c r="W82" s="51">
        <f t="shared" si="10"/>
        <v>2.2004389984261463E-2</v>
      </c>
      <c r="X82" s="51">
        <f t="shared" si="10"/>
        <v>3.3104150799877274E-2</v>
      </c>
      <c r="Y82" s="51">
        <f t="shared" si="10"/>
        <v>0.12466969677618267</v>
      </c>
      <c r="Z82" s="51">
        <f t="shared" si="10"/>
        <v>0.10799776870838751</v>
      </c>
      <c r="AA82" s="51">
        <f t="shared" si="10"/>
        <v>-2.4177909939392395E-3</v>
      </c>
      <c r="AB82" s="51">
        <f t="shared" si="10"/>
        <v>-7.1545389807577298E-2</v>
      </c>
      <c r="AC82" s="34">
        <f t="shared" si="14"/>
        <v>4089.5214749505762</v>
      </c>
      <c r="AD82" s="36">
        <f t="shared" si="14"/>
        <v>22785.288576674255</v>
      </c>
      <c r="AE82" s="35">
        <f t="shared" si="14"/>
        <v>129.57669333288413</v>
      </c>
      <c r="AF82" s="35">
        <f t="shared" si="14"/>
        <v>196.14748506777843</v>
      </c>
      <c r="AG82" s="35">
        <f t="shared" si="14"/>
        <v>609.65345759810953</v>
      </c>
      <c r="AH82" s="35">
        <f t="shared" si="14"/>
        <v>179.77032583915005</v>
      </c>
      <c r="AI82" s="35">
        <f t="shared" si="14"/>
        <v>264.94685463018214</v>
      </c>
      <c r="AJ82" s="51">
        <f>'Data Descriptors 2'!$V82-'Data Descriptors 2'!$X82</f>
        <v>0.22326064445233396</v>
      </c>
      <c r="AK82" s="51">
        <f>'Data Descriptors 2'!$V82-'Data Descriptors 2'!$Y82</f>
        <v>0.13169509847602856</v>
      </c>
    </row>
    <row r="83" spans="1:37">
      <c r="A83" s="32">
        <v>1990</v>
      </c>
      <c r="B83" s="33">
        <f>('[1]S&amp;P 500 &amp; Raw Data'!B66-'[1]S&amp;P 500 &amp; Raw Data'!B65+'[1]S&amp;P 500 &amp; Raw Data'!C66)/'[1]S&amp;P 500 &amp; Raw Data'!B65</f>
        <v>-3.0644516129032118E-2</v>
      </c>
      <c r="C83" s="33">
        <f>'[1]Small Cap'!B64</f>
        <v>-0.2792</v>
      </c>
      <c r="D83" s="33">
        <f>'[1]T. Bill rates'!C68</f>
        <v>7.4964799999999998E-2</v>
      </c>
      <c r="E83" s="33">
        <f>'[1]S&amp;P 500 &amp; Raw Data'!F66</f>
        <v>6.2353753335533363E-2</v>
      </c>
      <c r="F83" s="33">
        <f>'[1]S&amp;P 500 &amp; Raw Data'!J66</f>
        <v>6.2807165619478592E-2</v>
      </c>
      <c r="G83" s="33">
        <f>'[1]Home Prices'!B66/'[1]Home Prices'!B65-1</f>
        <v>-6.8630142358537816E-3</v>
      </c>
      <c r="H83" s="33">
        <f>'[1]Gold Prices'!B65/'[1]Gold Prices'!B64-1</f>
        <v>-3.1108881083793394E-2</v>
      </c>
      <c r="I83" s="34">
        <f t="shared" si="13"/>
        <v>28895.113053319994</v>
      </c>
      <c r="J83" s="35">
        <f t="shared" si="13"/>
        <v>119712.12627600135</v>
      </c>
      <c r="K83" s="35">
        <f t="shared" si="13"/>
        <v>1015.2896752097677</v>
      </c>
      <c r="L83" s="35">
        <f t="shared" si="13"/>
        <v>1518.8704542240573</v>
      </c>
      <c r="M83" s="35">
        <f t="shared" si="13"/>
        <v>4722.8738809422921</v>
      </c>
      <c r="N83" s="35">
        <f t="shared" si="13"/>
        <v>1301.3556286738137</v>
      </c>
      <c r="O83" s="35">
        <f t="shared" si="13"/>
        <v>1871.1240310077515</v>
      </c>
      <c r="P83" s="67">
        <f t="shared" si="0"/>
        <v>-0.10560931612903211</v>
      </c>
      <c r="Q83" s="67">
        <f t="shared" si="1"/>
        <v>-9.2998269464565478E-2</v>
      </c>
      <c r="R83" s="68">
        <f>'Data Descriptors 2'!$C83-'Data Descriptors 2'!$B83</f>
        <v>-0.24855548387096787</v>
      </c>
      <c r="S83" s="68">
        <f t="shared" si="2"/>
        <v>-9.3451681748510707E-2</v>
      </c>
      <c r="T83" s="68">
        <f t="shared" si="9"/>
        <v>4.9979953137364364E-2</v>
      </c>
      <c r="U83" s="69">
        <f>'[1]Inflation Rate'!C88</f>
        <v>6.1062599999999995E-2</v>
      </c>
      <c r="V83" s="51">
        <f t="shared" si="10"/>
        <v>-8.6429505788849892E-2</v>
      </c>
      <c r="W83" s="51">
        <f t="shared" si="10"/>
        <v>-0.32068098526891819</v>
      </c>
      <c r="X83" s="51">
        <f t="shared" si="10"/>
        <v>1.3102148732789143E-2</v>
      </c>
      <c r="Y83" s="51">
        <f t="shared" si="10"/>
        <v>1.2168493503901257E-3</v>
      </c>
      <c r="Z83" s="51">
        <f t="shared" si="10"/>
        <v>1.6441684208627905E-3</v>
      </c>
      <c r="AA83" s="51">
        <f t="shared" si="10"/>
        <v>-6.401659453066566E-2</v>
      </c>
      <c r="AB83" s="51">
        <f t="shared" si="10"/>
        <v>-8.6867147219959917E-2</v>
      </c>
      <c r="AC83" s="34">
        <f t="shared" si="14"/>
        <v>3736.0661549577094</v>
      </c>
      <c r="AD83" s="36">
        <f t="shared" si="14"/>
        <v>15478.479786269729</v>
      </c>
      <c r="AE83" s="35">
        <f t="shared" si="14"/>
        <v>131.2744264412346</v>
      </c>
      <c r="AF83" s="35">
        <f t="shared" si="14"/>
        <v>196.38616700756381</v>
      </c>
      <c r="AG83" s="35">
        <f t="shared" si="14"/>
        <v>610.65583056076218</v>
      </c>
      <c r="AH83" s="35">
        <f t="shared" si="14"/>
        <v>168.26204178125954</v>
      </c>
      <c r="AI83" s="35">
        <f t="shared" si="14"/>
        <v>241.9316772035568</v>
      </c>
      <c r="AJ83" s="51">
        <f>'Data Descriptors 2'!$V83-'Data Descriptors 2'!$X83</f>
        <v>-9.9531654521639035E-2</v>
      </c>
      <c r="AK83" s="51">
        <f>'Data Descriptors 2'!$V83-'Data Descriptors 2'!$Y83</f>
        <v>-8.7646355139240018E-2</v>
      </c>
    </row>
    <row r="84" spans="1:37">
      <c r="A84" s="32">
        <v>1991</v>
      </c>
      <c r="B84" s="33">
        <f>('[1]S&amp;P 500 &amp; Raw Data'!B67-'[1]S&amp;P 500 &amp; Raw Data'!B66+'[1]S&amp;P 500 &amp; Raw Data'!C67)/'[1]S&amp;P 500 &amp; Raw Data'!B66</f>
        <v>0.30234843134879757</v>
      </c>
      <c r="C84" s="33">
        <f>'[1]Small Cap'!B65</f>
        <v>0.46270000000000006</v>
      </c>
      <c r="D84" s="33">
        <f>'[1]T. Bill rates'!C69</f>
        <v>5.3756000000000005E-2</v>
      </c>
      <c r="E84" s="33">
        <f>'[1]S&amp;P 500 &amp; Raw Data'!F67</f>
        <v>0.15004510019517303</v>
      </c>
      <c r="F84" s="33">
        <f>'[1]S&amp;P 500 &amp; Raw Data'!J67</f>
        <v>0.18928042873950041</v>
      </c>
      <c r="G84" s="33">
        <f>'[1]Home Prices'!B67/'[1]Home Prices'!B66-1</f>
        <v>-1.6848312536197341E-3</v>
      </c>
      <c r="H84" s="33">
        <f>'[1]Gold Prices'!B66/'[1]Gold Prices'!B65-1</f>
        <v>-8.5577421025375466E-2</v>
      </c>
      <c r="I84" s="34">
        <f t="shared" si="13"/>
        <v>37631.505158637461</v>
      </c>
      <c r="J84" s="35">
        <f t="shared" si="13"/>
        <v>175102.92710390719</v>
      </c>
      <c r="K84" s="35">
        <f t="shared" si="13"/>
        <v>1069.8675869903439</v>
      </c>
      <c r="L84" s="35">
        <f t="shared" si="13"/>
        <v>1746.769523711594</v>
      </c>
      <c r="M84" s="35">
        <f t="shared" si="13"/>
        <v>5616.8214740096373</v>
      </c>
      <c r="N84" s="35">
        <f t="shared" si="13"/>
        <v>1299.1630640385501</v>
      </c>
      <c r="O84" s="35">
        <f t="shared" si="13"/>
        <v>1710.9980620155034</v>
      </c>
      <c r="P84" s="67">
        <f t="shared" si="0"/>
        <v>0.24859243134879758</v>
      </c>
      <c r="Q84" s="67">
        <f t="shared" si="1"/>
        <v>0.15230333115362454</v>
      </c>
      <c r="R84" s="68">
        <f>'Data Descriptors 2'!$C84-'Data Descriptors 2'!$B84</f>
        <v>0.16035156865120248</v>
      </c>
      <c r="S84" s="68">
        <f t="shared" si="2"/>
        <v>0.11306800260929717</v>
      </c>
      <c r="T84" s="68">
        <f t="shared" si="9"/>
        <v>5.13850639844049E-2</v>
      </c>
      <c r="U84" s="69">
        <f>'[1]Inflation Rate'!C89</f>
        <v>3.0642800000000001E-2</v>
      </c>
      <c r="V84" s="51">
        <f t="shared" si="10"/>
        <v>0.26362735115288971</v>
      </c>
      <c r="W84" s="51">
        <f t="shared" si="10"/>
        <v>0.41921138924174306</v>
      </c>
      <c r="X84" s="51">
        <f t="shared" si="10"/>
        <v>2.2426004431409075E-2</v>
      </c>
      <c r="Y84" s="51">
        <f t="shared" si="10"/>
        <v>0.11585226248625902</v>
      </c>
      <c r="Z84" s="51">
        <f t="shared" si="10"/>
        <v>0.15392105658672461</v>
      </c>
      <c r="AA84" s="51">
        <f t="shared" si="10"/>
        <v>-3.1366474644386799E-2</v>
      </c>
      <c r="AB84" s="51">
        <f t="shared" si="10"/>
        <v>-0.11276479205538092</v>
      </c>
      <c r="AC84" s="34">
        <f t="shared" si="14"/>
        <v>4720.9953791211719</v>
      </c>
      <c r="AD84" s="36">
        <f t="shared" si="14"/>
        <v>21967.234800822102</v>
      </c>
      <c r="AE84" s="35">
        <f t="shared" si="14"/>
        <v>134.2183873103364</v>
      </c>
      <c r="AF84" s="35">
        <f t="shared" si="14"/>
        <v>219.13794877639441</v>
      </c>
      <c r="AG84" s="35">
        <f t="shared" si="14"/>
        <v>704.64862121151862</v>
      </c>
      <c r="AH84" s="35">
        <f t="shared" si="14"/>
        <v>162.98425471411491</v>
      </c>
      <c r="AI84" s="35">
        <f t="shared" si="14"/>
        <v>214.65030193208818</v>
      </c>
      <c r="AJ84" s="51">
        <f>'Data Descriptors 2'!$V84-'Data Descriptors 2'!$X84</f>
        <v>0.24120134672148064</v>
      </c>
      <c r="AK84" s="51">
        <f>'Data Descriptors 2'!$V84-'Data Descriptors 2'!$Y84</f>
        <v>0.14777508866663069</v>
      </c>
    </row>
    <row r="85" spans="1:37">
      <c r="A85" s="32">
        <v>1992</v>
      </c>
      <c r="B85" s="33">
        <f>('[1]S&amp;P 500 &amp; Raw Data'!B68-'[1]S&amp;P 500 &amp; Raw Data'!B67+'[1]S&amp;P 500 &amp; Raw Data'!C68)/'[1]S&amp;P 500 &amp; Raw Data'!B67</f>
        <v>7.493727972380064E-2</v>
      </c>
      <c r="C85" s="33">
        <f>'[1]Small Cap'!B66</f>
        <v>0.25509999999999999</v>
      </c>
      <c r="D85" s="33">
        <f>'[1]T. Bill rates'!C70</f>
        <v>3.4313147410358569E-2</v>
      </c>
      <c r="E85" s="33">
        <f>'[1]S&amp;P 500 &amp; Raw Data'!F68</f>
        <v>9.3616373162079422E-2</v>
      </c>
      <c r="F85" s="33">
        <f>'[1]S&amp;P 500 &amp; Raw Data'!J68</f>
        <v>0.11305244549445928</v>
      </c>
      <c r="G85" s="33">
        <f>'[1]Home Prices'!B68/'[1]Home Prices'!B67-1</f>
        <v>8.1746743315227466E-3</v>
      </c>
      <c r="H85" s="33">
        <f>'[1]Gold Prices'!B67/'[1]Gold Prices'!B66-1</f>
        <v>-5.7341073198357684E-2</v>
      </c>
      <c r="I85" s="34">
        <f t="shared" si="13"/>
        <v>40451.507787137925</v>
      </c>
      <c r="J85" s="35">
        <f t="shared" si="13"/>
        <v>219771.68380811394</v>
      </c>
      <c r="K85" s="35">
        <f t="shared" si="13"/>
        <v>1106.5781112123082</v>
      </c>
      <c r="L85" s="35">
        <f t="shared" si="13"/>
        <v>1910.2957512715263</v>
      </c>
      <c r="M85" s="35">
        <f t="shared" si="13"/>
        <v>6251.8168775522199</v>
      </c>
      <c r="N85" s="35">
        <f t="shared" si="13"/>
        <v>1309.7832989906085</v>
      </c>
      <c r="O85" s="35">
        <f t="shared" si="13"/>
        <v>1612.8875968992243</v>
      </c>
      <c r="P85" s="67">
        <f t="shared" ref="P85:P114" si="15">B85-D85</f>
        <v>4.0624132313442071E-2</v>
      </c>
      <c r="Q85" s="67">
        <f t="shared" ref="Q85:Q114" si="16">B85-E85</f>
        <v>-1.8679093438278782E-2</v>
      </c>
      <c r="R85" s="68">
        <f>'Data Descriptors 2'!$C85-'Data Descriptors 2'!$B85</f>
        <v>0.18016272027619934</v>
      </c>
      <c r="S85" s="68">
        <f t="shared" ref="S85:S115" si="17">B85-F85</f>
        <v>-3.8115165770658641E-2</v>
      </c>
      <c r="T85" s="68">
        <f t="shared" si="9"/>
        <v>5.0319857010869606E-2</v>
      </c>
      <c r="U85" s="69">
        <f>'[1]Inflation Rate'!C90</f>
        <v>2.9006500000000001E-2</v>
      </c>
      <c r="V85" s="51">
        <f t="shared" ref="V85:AB115" si="18">(1+B85)/(1+$U85)-1</f>
        <v>4.4636044304677158E-2</v>
      </c>
      <c r="W85" s="51">
        <f t="shared" si="18"/>
        <v>0.21972018641281688</v>
      </c>
      <c r="X85" s="51">
        <f t="shared" si="18"/>
        <v>5.1570591734442228E-3</v>
      </c>
      <c r="Y85" s="51">
        <f t="shared" si="18"/>
        <v>6.2788595759190491E-2</v>
      </c>
      <c r="Z85" s="51">
        <f t="shared" si="18"/>
        <v>8.167678775057241E-2</v>
      </c>
      <c r="AA85" s="51">
        <f t="shared" si="18"/>
        <v>-2.0244600659448886E-2</v>
      </c>
      <c r="AB85" s="51">
        <f t="shared" si="18"/>
        <v>-8.3913535238463122E-2</v>
      </c>
      <c r="AC85" s="34">
        <f t="shared" si="14"/>
        <v>4931.7219380258011</v>
      </c>
      <c r="AD85" s="36">
        <f t="shared" si="14"/>
        <v>26793.879726232852</v>
      </c>
      <c r="AE85" s="35">
        <f t="shared" si="14"/>
        <v>134.91055947586005</v>
      </c>
      <c r="AF85" s="35">
        <f t="shared" si="14"/>
        <v>232.89731285761363</v>
      </c>
      <c r="AG85" s="35">
        <f t="shared" si="14"/>
        <v>762.2020570849453</v>
      </c>
      <c r="AH85" s="35">
        <f t="shared" si="14"/>
        <v>159.68470356364975</v>
      </c>
      <c r="AI85" s="35">
        <f t="shared" si="14"/>
        <v>196.63823625696315</v>
      </c>
      <c r="AJ85" s="51">
        <f>'Data Descriptors 2'!$V85-'Data Descriptors 2'!$X85</f>
        <v>3.9478985131232935E-2</v>
      </c>
      <c r="AK85" s="51">
        <f>'Data Descriptors 2'!$V85-'Data Descriptors 2'!$Y85</f>
        <v>-1.8152551454513333E-2</v>
      </c>
    </row>
    <row r="86" spans="1:37">
      <c r="A86" s="32">
        <v>1993</v>
      </c>
      <c r="B86" s="33">
        <f>('[1]S&amp;P 500 &amp; Raw Data'!B69-'[1]S&amp;P 500 &amp; Raw Data'!B68+'[1]S&amp;P 500 &amp; Raw Data'!C69)/'[1]S&amp;P 500 &amp; Raw Data'!B68</f>
        <v>9.96705147919488E-2</v>
      </c>
      <c r="C86" s="33">
        <f>'[1]Small Cap'!B67</f>
        <v>0.25730000000000003</v>
      </c>
      <c r="D86" s="33">
        <f>'[1]T. Bill rates'!C71</f>
        <v>2.9971199999999996E-2</v>
      </c>
      <c r="E86" s="33">
        <f>'[1]S&amp;P 500 &amp; Raw Data'!F69</f>
        <v>0.14210957589263107</v>
      </c>
      <c r="F86" s="33">
        <f>'[1]S&amp;P 500 &amp; Raw Data'!J69</f>
        <v>0.15472450683005834</v>
      </c>
      <c r="G86" s="33">
        <f>'[1]Home Prices'!B69/'[1]Home Prices'!B68-1</f>
        <v>2.15657041222026E-2</v>
      </c>
      <c r="H86" s="33">
        <f>'[1]Gold Prices'!B68/'[1]Gold Prices'!B67-1</f>
        <v>0.17677981375788532</v>
      </c>
      <c r="I86" s="34">
        <f t="shared" ref="I86:O101" si="19">I85*(1+B86)</f>
        <v>44483.33039239249</v>
      </c>
      <c r="J86" s="35">
        <f t="shared" si="19"/>
        <v>276318.93805194169</v>
      </c>
      <c r="K86" s="35">
        <f t="shared" si="19"/>
        <v>1139.7435850990746</v>
      </c>
      <c r="L86" s="35">
        <f t="shared" si="19"/>
        <v>2181.7670703142176</v>
      </c>
      <c r="M86" s="35">
        <f t="shared" si="19"/>
        <v>7219.1261607233218</v>
      </c>
      <c r="N86" s="35">
        <f t="shared" si="19"/>
        <v>1338.0296980808423</v>
      </c>
      <c r="O86" s="35">
        <f t="shared" si="19"/>
        <v>1898.0135658914724</v>
      </c>
      <c r="P86" s="67">
        <f t="shared" si="15"/>
        <v>6.9699314791948797E-2</v>
      </c>
      <c r="Q86" s="67">
        <f t="shared" si="16"/>
        <v>-4.2439061100682268E-2</v>
      </c>
      <c r="R86" s="68">
        <f>'Data Descriptors 2'!$C86-'Data Descriptors 2'!$B86</f>
        <v>0.15762948520805123</v>
      </c>
      <c r="S86" s="68">
        <f t="shared" si="17"/>
        <v>-5.5053992038109539E-2</v>
      </c>
      <c r="T86" s="68">
        <f t="shared" si="9"/>
        <v>4.8975937931758473E-2</v>
      </c>
      <c r="U86" s="69">
        <f>'[1]Inflation Rate'!C91</f>
        <v>2.7484099999999997E-2</v>
      </c>
      <c r="V86" s="51">
        <f t="shared" si="18"/>
        <v>7.025550545448711E-2</v>
      </c>
      <c r="W86" s="51">
        <f t="shared" si="18"/>
        <v>0.22366857063773571</v>
      </c>
      <c r="X86" s="51">
        <f t="shared" si="18"/>
        <v>2.4205727368435959E-3</v>
      </c>
      <c r="Y86" s="51">
        <f t="shared" si="18"/>
        <v>0.11155936709155023</v>
      </c>
      <c r="Z86" s="51">
        <f t="shared" si="18"/>
        <v>0.12383686212765554</v>
      </c>
      <c r="AA86" s="51">
        <f t="shared" si="18"/>
        <v>-5.7600851222878724E-3</v>
      </c>
      <c r="AB86" s="51">
        <f t="shared" si="18"/>
        <v>0.14530221320007319</v>
      </c>
      <c r="AC86" s="34">
        <f t="shared" ref="AC86:AI101" si="20">AC85*(1+V86)</f>
        <v>5278.2025555427863</v>
      </c>
      <c r="AD86" s="36">
        <f t="shared" si="20"/>
        <v>32786.82850643876</v>
      </c>
      <c r="AE86" s="35">
        <f t="shared" si="20"/>
        <v>135.23712029803963</v>
      </c>
      <c r="AF86" s="35">
        <f t="shared" si="20"/>
        <v>258.87918967733179</v>
      </c>
      <c r="AG86" s="35">
        <f t="shared" si="20"/>
        <v>856.59076814158914</v>
      </c>
      <c r="AH86" s="35">
        <f t="shared" si="20"/>
        <v>158.76490607839582</v>
      </c>
      <c r="AI86" s="35">
        <f t="shared" si="20"/>
        <v>225.21020718485877</v>
      </c>
      <c r="AJ86" s="51">
        <f>'Data Descriptors 2'!$V86-'Data Descriptors 2'!$X86</f>
        <v>6.7834932717643515E-2</v>
      </c>
      <c r="AK86" s="51">
        <f>'Data Descriptors 2'!$V86-'Data Descriptors 2'!$Y86</f>
        <v>-4.1303861637063122E-2</v>
      </c>
    </row>
    <row r="87" spans="1:37">
      <c r="A87" s="32">
        <v>1994</v>
      </c>
      <c r="B87" s="33">
        <f>('[1]S&amp;P 500 &amp; Raw Data'!B70-'[1]S&amp;P 500 &amp; Raw Data'!B69+'[1]S&amp;P 500 &amp; Raw Data'!C70)/'[1]S&amp;P 500 &amp; Raw Data'!B69</f>
        <v>1.3259206774573897E-2</v>
      </c>
      <c r="C87" s="33">
        <f>'[1]Small Cap'!B68</f>
        <v>-5.0099999999999999E-2</v>
      </c>
      <c r="D87" s="33">
        <f>'[1]T. Bill rates'!C72</f>
        <v>4.2522489959839357E-2</v>
      </c>
      <c r="E87" s="33">
        <f>'[1]S&amp;P 500 &amp; Raw Data'!F70</f>
        <v>-8.0366555509985921E-2</v>
      </c>
      <c r="F87" s="33">
        <f>'[1]S&amp;P 500 &amp; Raw Data'!J70</f>
        <v>-9.6826953788543557E-3</v>
      </c>
      <c r="G87" s="33">
        <f>'[1]Home Prices'!B70/'[1]Home Prices'!B69-1</f>
        <v>2.515586394070124E-2</v>
      </c>
      <c r="H87" s="33">
        <f>'[1]Gold Prices'!B69/'[1]Gold Prices'!B68-1</f>
        <v>-2.1697511167836581E-2</v>
      </c>
      <c r="I87" s="34">
        <f t="shared" si="19"/>
        <v>45073.144068086905</v>
      </c>
      <c r="J87" s="35">
        <f t="shared" si="19"/>
        <v>262475.35925553943</v>
      </c>
      <c r="K87" s="35">
        <f t="shared" si="19"/>
        <v>1188.2083202532413</v>
      </c>
      <c r="L87" s="35">
        <f t="shared" si="19"/>
        <v>2006.4259659479505</v>
      </c>
      <c r="M87" s="35">
        <f t="shared" si="19"/>
        <v>7149.2255612075196</v>
      </c>
      <c r="N87" s="35">
        <f t="shared" si="19"/>
        <v>1371.6889911143815</v>
      </c>
      <c r="O87" s="35">
        <f t="shared" si="19"/>
        <v>1856.8313953488368</v>
      </c>
      <c r="P87" s="67">
        <f t="shared" si="15"/>
        <v>-2.926328318526546E-2</v>
      </c>
      <c r="Q87" s="67">
        <f t="shared" si="16"/>
        <v>9.3625762284559821E-2</v>
      </c>
      <c r="R87" s="68">
        <f>'Data Descriptors 2'!$C87-'Data Descriptors 2'!$B87</f>
        <v>-6.3359206774573892E-2</v>
      </c>
      <c r="S87" s="68">
        <f t="shared" si="17"/>
        <v>2.2941902153428253E-2</v>
      </c>
      <c r="T87" s="68">
        <f t="shared" si="9"/>
        <v>4.9718636171719899E-2</v>
      </c>
      <c r="U87" s="69">
        <f>'[1]Inflation Rate'!C92</f>
        <v>2.6749000000000002E-2</v>
      </c>
      <c r="V87" s="51">
        <f t="shared" si="18"/>
        <v>-1.3138355357956155E-2</v>
      </c>
      <c r="W87" s="51">
        <f t="shared" si="18"/>
        <v>-7.4846919743773777E-2</v>
      </c>
      <c r="X87" s="51">
        <f t="shared" si="18"/>
        <v>1.5362556924661597E-2</v>
      </c>
      <c r="Y87" s="51">
        <f t="shared" si="18"/>
        <v>-0.10432496696854432</v>
      </c>
      <c r="Z87" s="51">
        <f t="shared" si="18"/>
        <v>-3.548257205885208E-2</v>
      </c>
      <c r="AA87" s="51">
        <f t="shared" si="18"/>
        <v>-1.551631469130843E-3</v>
      </c>
      <c r="AB87" s="51">
        <f t="shared" si="18"/>
        <v>-4.7184376286547591E-2</v>
      </c>
      <c r="AC87" s="34">
        <f t="shared" si="20"/>
        <v>5208.8556547167927</v>
      </c>
      <c r="AD87" s="36">
        <f t="shared" si="20"/>
        <v>30332.835384564463</v>
      </c>
      <c r="AE87" s="35">
        <f t="shared" si="20"/>
        <v>137.31470825694558</v>
      </c>
      <c r="AF87" s="35">
        <f t="shared" si="20"/>
        <v>231.87162676540063</v>
      </c>
      <c r="AG87" s="35">
        <f t="shared" si="20"/>
        <v>826.19672448605775</v>
      </c>
      <c r="AH87" s="35">
        <f t="shared" si="20"/>
        <v>158.51856145393097</v>
      </c>
      <c r="AI87" s="35">
        <f t="shared" si="20"/>
        <v>214.58380402547706</v>
      </c>
      <c r="AJ87" s="51">
        <f>'Data Descriptors 2'!$V87-'Data Descriptors 2'!$X87</f>
        <v>-2.8500912282617752E-2</v>
      </c>
      <c r="AK87" s="51">
        <f>'Data Descriptors 2'!$V87-'Data Descriptors 2'!$Y87</f>
        <v>9.1186611610588164E-2</v>
      </c>
    </row>
    <row r="88" spans="1:37">
      <c r="A88" s="32">
        <v>1995</v>
      </c>
      <c r="B88" s="33">
        <f>('[1]S&amp;P 500 &amp; Raw Data'!B71-'[1]S&amp;P 500 &amp; Raw Data'!B70+'[1]S&amp;P 500 &amp; Raw Data'!C71)/'[1]S&amp;P 500 &amp; Raw Data'!B70</f>
        <v>0.37195198902606308</v>
      </c>
      <c r="C88" s="33">
        <f>'[1]Small Cap'!B69</f>
        <v>0.32270000000000004</v>
      </c>
      <c r="D88" s="33">
        <f>'[1]T. Bill rates'!C73</f>
        <v>5.4896E-2</v>
      </c>
      <c r="E88" s="33">
        <f>'[1]S&amp;P 500 &amp; Raw Data'!F71</f>
        <v>0.23480780112538907</v>
      </c>
      <c r="F88" s="33">
        <f>'[1]S&amp;P 500 &amp; Raw Data'!J71</f>
        <v>0.21287256523842943</v>
      </c>
      <c r="G88" s="33">
        <f>'[1]Home Prices'!B71/'[1]Home Prices'!B70-1</f>
        <v>1.7920027972726515E-2</v>
      </c>
      <c r="H88" s="33">
        <f>'[1]Gold Prices'!B70/'[1]Gold Prices'!B69-1</f>
        <v>9.7847358121330164E-3</v>
      </c>
      <c r="I88" s="34">
        <f t="shared" si="19"/>
        <v>61838.189655870119</v>
      </c>
      <c r="J88" s="35">
        <f t="shared" si="19"/>
        <v>347176.15768730198</v>
      </c>
      <c r="K88" s="35">
        <f t="shared" si="19"/>
        <v>1253.4362042018633</v>
      </c>
      <c r="L88" s="35">
        <f t="shared" si="19"/>
        <v>2477.5504351330737</v>
      </c>
      <c r="M88" s="35">
        <f t="shared" si="19"/>
        <v>8671.0995458899142</v>
      </c>
      <c r="N88" s="35">
        <f t="shared" si="19"/>
        <v>1396.2696962050322</v>
      </c>
      <c r="O88" s="35">
        <f t="shared" si="19"/>
        <v>1874.9999999999995</v>
      </c>
      <c r="P88" s="67">
        <f t="shared" si="15"/>
        <v>0.31705598902606308</v>
      </c>
      <c r="Q88" s="67">
        <f t="shared" si="16"/>
        <v>0.13714418790067401</v>
      </c>
      <c r="R88" s="68">
        <f>'Data Descriptors 2'!$C88-'Data Descriptors 2'!$B88</f>
        <v>-4.9251989026063037E-2</v>
      </c>
      <c r="S88" s="68">
        <f t="shared" si="17"/>
        <v>0.15907942378763365</v>
      </c>
      <c r="T88" s="68">
        <f t="shared" si="9"/>
        <v>5.0791451119413633E-2</v>
      </c>
      <c r="U88" s="69">
        <f>'[1]Inflation Rate'!C93</f>
        <v>2.53841E-2</v>
      </c>
      <c r="V88" s="51">
        <f t="shared" si="18"/>
        <v>0.33798835872924404</v>
      </c>
      <c r="W88" s="51">
        <f t="shared" si="18"/>
        <v>0.2899556371119858</v>
      </c>
      <c r="X88" s="51">
        <f t="shared" si="18"/>
        <v>2.8781312290682148E-2</v>
      </c>
      <c r="Y88" s="51">
        <f t="shared" si="18"/>
        <v>0.20423927104524942</v>
      </c>
      <c r="Z88" s="51">
        <f t="shared" si="18"/>
        <v>0.18284705725242811</v>
      </c>
      <c r="AA88" s="51">
        <f t="shared" si="18"/>
        <v>-7.2792937078636211E-3</v>
      </c>
      <c r="AB88" s="51">
        <f t="shared" si="18"/>
        <v>-1.5213191025555073E-2</v>
      </c>
      <c r="AC88" s="34">
        <f t="shared" si="20"/>
        <v>6969.3882283120638</v>
      </c>
      <c r="AD88" s="36">
        <f t="shared" si="20"/>
        <v>39128.01199390884</v>
      </c>
      <c r="AE88" s="35">
        <f t="shared" si="20"/>
        <v>141.26680575739263</v>
      </c>
      <c r="AF88" s="35">
        <f t="shared" si="20"/>
        <v>279.22891879204218</v>
      </c>
      <c r="AG88" s="35">
        <f t="shared" si="20"/>
        <v>977.26436426992848</v>
      </c>
      <c r="AH88" s="35">
        <f t="shared" si="20"/>
        <v>157.36465828695978</v>
      </c>
      <c r="AI88" s="35">
        <f t="shared" si="20"/>
        <v>211.3192996238472</v>
      </c>
      <c r="AJ88" s="51">
        <f>'Data Descriptors 2'!$V88-'Data Descriptors 2'!$X88</f>
        <v>0.30920704643856189</v>
      </c>
      <c r="AK88" s="51">
        <f>'Data Descriptors 2'!$V88-'Data Descriptors 2'!$Y88</f>
        <v>0.13374908768399463</v>
      </c>
    </row>
    <row r="89" spans="1:37">
      <c r="A89" s="32">
        <v>1996</v>
      </c>
      <c r="B89" s="33">
        <f>('[1]S&amp;P 500 &amp; Raw Data'!B72-'[1]S&amp;P 500 &amp; Raw Data'!B71+'[1]S&amp;P 500 &amp; Raw Data'!C72)/'[1]S&amp;P 500 &amp; Raw Data'!B71</f>
        <v>0.22680966018865789</v>
      </c>
      <c r="C89" s="33">
        <f>'[1]Small Cap'!B70</f>
        <v>0.14630000000000001</v>
      </c>
      <c r="D89" s="33">
        <f>'[1]T. Bill rates'!C74</f>
        <v>5.005396825396826E-2</v>
      </c>
      <c r="E89" s="33">
        <f>'[1]S&amp;P 500 &amp; Raw Data'!F72</f>
        <v>1.428607793401844E-2</v>
      </c>
      <c r="F89" s="33">
        <f>'[1]S&amp;P 500 &amp; Raw Data'!J72</f>
        <v>3.4156893562299034E-2</v>
      </c>
      <c r="G89" s="33">
        <f>'[1]Home Prices'!B72/'[1]Home Prices'!B71-1</f>
        <v>2.4253800007359549E-2</v>
      </c>
      <c r="H89" s="33">
        <f>'[1]Gold Prices'!B71/'[1]Gold Prices'!B70-1</f>
        <v>-4.5865633074935408E-2</v>
      </c>
      <c r="I89" s="34">
        <f t="shared" si="19"/>
        <v>75863.688438399797</v>
      </c>
      <c r="J89" s="35">
        <f t="shared" si="19"/>
        <v>397968.02955695428</v>
      </c>
      <c r="K89" s="35">
        <f t="shared" si="19"/>
        <v>1316.175660175358</v>
      </c>
      <c r="L89" s="35">
        <f t="shared" si="19"/>
        <v>2512.9449137348461</v>
      </c>
      <c r="M89" s="35">
        <f t="shared" si="19"/>
        <v>8967.277370146976</v>
      </c>
      <c r="N89" s="35">
        <f t="shared" si="19"/>
        <v>1430.1345421731257</v>
      </c>
      <c r="O89" s="35">
        <f t="shared" si="19"/>
        <v>1789.0019379844957</v>
      </c>
      <c r="P89" s="67">
        <f t="shared" si="15"/>
        <v>0.17675569193468962</v>
      </c>
      <c r="Q89" s="67">
        <f t="shared" si="16"/>
        <v>0.21252358225463946</v>
      </c>
      <c r="R89" s="68">
        <f>'Data Descriptors 2'!$C89-'Data Descriptors 2'!$B89</f>
        <v>-8.0509660188657878E-2</v>
      </c>
      <c r="S89" s="68">
        <f t="shared" si="17"/>
        <v>0.19265276662635886</v>
      </c>
      <c r="T89" s="68">
        <f t="shared" si="9"/>
        <v>5.304503967737495E-2</v>
      </c>
      <c r="U89" s="69">
        <f>'[1]Inflation Rate'!C94</f>
        <v>3.3224799999999999E-2</v>
      </c>
      <c r="V89" s="51">
        <f t="shared" si="18"/>
        <v>0.18735986610915445</v>
      </c>
      <c r="W89" s="51">
        <f t="shared" si="18"/>
        <v>0.10943910753981134</v>
      </c>
      <c r="X89" s="51">
        <f t="shared" si="18"/>
        <v>1.628800262437391E-2</v>
      </c>
      <c r="Y89" s="51">
        <f t="shared" si="18"/>
        <v>-1.8329720759685197E-2</v>
      </c>
      <c r="Z89" s="51">
        <f t="shared" si="18"/>
        <v>9.0212077981410843E-4</v>
      </c>
      <c r="AA89" s="51">
        <f t="shared" si="18"/>
        <v>-8.6825248412933931E-3</v>
      </c>
      <c r="AB89" s="51">
        <f t="shared" si="18"/>
        <v>-7.6547168704172996E-2</v>
      </c>
      <c r="AC89" s="34">
        <f t="shared" si="20"/>
        <v>8275.1718736313287</v>
      </c>
      <c r="AD89" s="36">
        <f t="shared" si="20"/>
        <v>43410.146706329258</v>
      </c>
      <c r="AE89" s="35">
        <f t="shared" si="20"/>
        <v>143.56775986030596</v>
      </c>
      <c r="AF89" s="35">
        <f t="shared" si="20"/>
        <v>274.11073068255524</v>
      </c>
      <c r="AG89" s="35">
        <f t="shared" si="20"/>
        <v>978.14597476030815</v>
      </c>
      <c r="AH89" s="35">
        <f t="shared" si="20"/>
        <v>155.9983357322416</v>
      </c>
      <c r="AI89" s="35">
        <f t="shared" si="20"/>
        <v>195.14340554509289</v>
      </c>
      <c r="AJ89" s="51">
        <f>'Data Descriptors 2'!$V89-'Data Descriptors 2'!$X89</f>
        <v>0.17107186348478054</v>
      </c>
      <c r="AK89" s="51">
        <f>'Data Descriptors 2'!$V89-'Data Descriptors 2'!$Y89</f>
        <v>0.20568958686883965</v>
      </c>
    </row>
    <row r="90" spans="1:37">
      <c r="A90" s="32">
        <v>1997</v>
      </c>
      <c r="B90" s="33">
        <f>('[1]S&amp;P 500 &amp; Raw Data'!B73-'[1]S&amp;P 500 &amp; Raw Data'!B72+'[1]S&amp;P 500 &amp; Raw Data'!C73)/'[1]S&amp;P 500 &amp; Raw Data'!B72</f>
        <v>0.33103653103653097</v>
      </c>
      <c r="C90" s="33">
        <f>'[1]Small Cap'!B71</f>
        <v>0.22170000000000001</v>
      </c>
      <c r="D90" s="33">
        <f>'[1]T. Bill rates'!C75</f>
        <v>5.0620800000000001E-2</v>
      </c>
      <c r="E90" s="33">
        <f>'[1]S&amp;P 500 &amp; Raw Data'!F73</f>
        <v>9.939130272977531E-2</v>
      </c>
      <c r="F90" s="33">
        <f>'[1]S&amp;P 500 &amp; Raw Data'!J73</f>
        <v>0.12754162725001839</v>
      </c>
      <c r="G90" s="33">
        <f>'[1]Home Prices'!B73/'[1]Home Prices'!B72-1</f>
        <v>4.0220385674931247E-2</v>
      </c>
      <c r="H90" s="33">
        <f>'[1]Gold Prices'!B72/'[1]Gold Prices'!B71-1</f>
        <v>-0.21408259986459044</v>
      </c>
      <c r="I90" s="34">
        <f t="shared" si="19"/>
        <v>100977.34069068384</v>
      </c>
      <c r="J90" s="35">
        <f t="shared" si="19"/>
        <v>486197.54170973104</v>
      </c>
      <c r="K90" s="35">
        <f t="shared" si="19"/>
        <v>1382.8015250339627</v>
      </c>
      <c r="L90" s="35">
        <f t="shared" si="19"/>
        <v>2762.7097823991153</v>
      </c>
      <c r="M90" s="35">
        <f t="shared" si="19"/>
        <v>10110.978517937787</v>
      </c>
      <c r="N90" s="35">
        <f t="shared" si="19"/>
        <v>1487.6551050263702</v>
      </c>
      <c r="O90" s="35">
        <f t="shared" si="19"/>
        <v>1406.007751937984</v>
      </c>
      <c r="P90" s="67">
        <f t="shared" si="15"/>
        <v>0.28041573103653095</v>
      </c>
      <c r="Q90" s="67">
        <f t="shared" si="16"/>
        <v>0.23164522830675566</v>
      </c>
      <c r="R90" s="68">
        <f>'Data Descriptors 2'!$C90-'Data Descriptors 2'!$B90</f>
        <v>-0.10933653103653096</v>
      </c>
      <c r="S90" s="68">
        <f t="shared" si="17"/>
        <v>0.20349490378651258</v>
      </c>
      <c r="T90" s="68">
        <f t="shared" si="9"/>
        <v>5.5315584903303572E-2</v>
      </c>
      <c r="U90" s="69">
        <f>'[1]Inflation Rate'!C95</f>
        <v>1.7023999999999997E-2</v>
      </c>
      <c r="V90" s="51">
        <f t="shared" si="18"/>
        <v>0.30875626439152959</v>
      </c>
      <c r="W90" s="51">
        <f t="shared" si="18"/>
        <v>0.20124992133912278</v>
      </c>
      <c r="X90" s="51">
        <f t="shared" si="18"/>
        <v>3.3034421999874164E-2</v>
      </c>
      <c r="Y90" s="51">
        <f t="shared" si="18"/>
        <v>8.098855359340118E-2</v>
      </c>
      <c r="Z90" s="51">
        <f t="shared" si="18"/>
        <v>0.10866766885542378</v>
      </c>
      <c r="AA90" s="51">
        <f t="shared" si="18"/>
        <v>2.2808100570813838E-2</v>
      </c>
      <c r="AB90" s="51">
        <f t="shared" si="18"/>
        <v>-0.22723809847613274</v>
      </c>
      <c r="AC90" s="34">
        <f t="shared" si="20"/>
        <v>10830.183028531592</v>
      </c>
      <c r="AD90" s="36">
        <f t="shared" si="20"/>
        <v>52146.4353162978</v>
      </c>
      <c r="AE90" s="35">
        <f t="shared" si="20"/>
        <v>148.3104378251079</v>
      </c>
      <c r="AF90" s="35">
        <f t="shared" si="20"/>
        <v>296.31056228496573</v>
      </c>
      <c r="AG90" s="35">
        <f t="shared" si="20"/>
        <v>1084.438817637827</v>
      </c>
      <c r="AH90" s="35">
        <f t="shared" si="20"/>
        <v>159.55636146250214</v>
      </c>
      <c r="AI90" s="35">
        <f t="shared" si="20"/>
        <v>150.79938913886917</v>
      </c>
      <c r="AJ90" s="51">
        <f>'Data Descriptors 2'!$V90-'Data Descriptors 2'!$X90</f>
        <v>0.27572184239165543</v>
      </c>
      <c r="AK90" s="51">
        <f>'Data Descriptors 2'!$V90-'Data Descriptors 2'!$Y90</f>
        <v>0.22776771079812841</v>
      </c>
    </row>
    <row r="91" spans="1:37">
      <c r="A91" s="32">
        <v>1998</v>
      </c>
      <c r="B91" s="33">
        <f>('[1]S&amp;P 500 &amp; Raw Data'!B74-'[1]S&amp;P 500 &amp; Raw Data'!B73+'[1]S&amp;P 500 &amp; Raw Data'!C74)/'[1]S&amp;P 500 &amp; Raw Data'!B73</f>
        <v>0.28337953278443584</v>
      </c>
      <c r="C91" s="33">
        <f>'[1]Small Cap'!B72</f>
        <v>-0.1346</v>
      </c>
      <c r="D91" s="33">
        <f>'[1]T. Bill rates'!C76</f>
        <v>4.7759600000000006E-2</v>
      </c>
      <c r="E91" s="33">
        <f>'[1]S&amp;P 500 &amp; Raw Data'!F74</f>
        <v>0.14921431922606215</v>
      </c>
      <c r="F91" s="33">
        <f>'[1]S&amp;P 500 &amp; Raw Data'!J74</f>
        <v>7.6274756292817242E-2</v>
      </c>
      <c r="G91" s="33">
        <f>'[1]Home Prices'!B74/'[1]Home Prices'!B73-1</f>
        <v>6.4422899778924236E-2</v>
      </c>
      <c r="H91" s="33">
        <f>'[1]Gold Prices'!B73/'[1]Gold Prices'!B72-1</f>
        <v>-8.2701585113713616E-3</v>
      </c>
      <c r="I91" s="34">
        <f t="shared" si="19"/>
        <v>129592.25231742462</v>
      </c>
      <c r="J91" s="35">
        <f t="shared" si="19"/>
        <v>420755.35259560123</v>
      </c>
      <c r="K91" s="35">
        <f t="shared" si="19"/>
        <v>1448.8435727489748</v>
      </c>
      <c r="L91" s="35">
        <f t="shared" si="19"/>
        <v>3174.9456417989818</v>
      </c>
      <c r="M91" s="35">
        <f t="shared" si="19"/>
        <v>10882.190940275401</v>
      </c>
      <c r="N91" s="35">
        <f t="shared" si="19"/>
        <v>1583.494160763089</v>
      </c>
      <c r="O91" s="35">
        <f t="shared" si="19"/>
        <v>1394.37984496124</v>
      </c>
      <c r="P91" s="67">
        <f t="shared" si="15"/>
        <v>0.23561993278443583</v>
      </c>
      <c r="Q91" s="67">
        <f t="shared" si="16"/>
        <v>0.13416521355837369</v>
      </c>
      <c r="R91" s="68">
        <f>'Data Descriptors 2'!$C91-'Data Descriptors 2'!$B91</f>
        <v>-0.41797953278443584</v>
      </c>
      <c r="S91" s="68">
        <f t="shared" si="17"/>
        <v>0.2071047764916186</v>
      </c>
      <c r="T91" s="68">
        <f t="shared" si="9"/>
        <v>5.6306048135548625E-2</v>
      </c>
      <c r="U91" s="69">
        <f>'[1]Inflation Rate'!C96</f>
        <v>1.6119000000000001E-2</v>
      </c>
      <c r="V91" s="51">
        <f t="shared" si="18"/>
        <v>0.26302089891482772</v>
      </c>
      <c r="W91" s="51">
        <f t="shared" si="18"/>
        <v>-0.14832809936631441</v>
      </c>
      <c r="X91" s="51">
        <f t="shared" si="18"/>
        <v>3.1138675686607664E-2</v>
      </c>
      <c r="Y91" s="51">
        <f t="shared" si="18"/>
        <v>0.13098398831835856</v>
      </c>
      <c r="Z91" s="51">
        <f t="shared" si="18"/>
        <v>5.9201487515553985E-2</v>
      </c>
      <c r="AA91" s="51">
        <f t="shared" si="18"/>
        <v>4.7537640550884497E-2</v>
      </c>
      <c r="AB91" s="51">
        <f t="shared" si="18"/>
        <v>-2.4002265985943905E-2</v>
      </c>
      <c r="AC91" s="34">
        <f t="shared" si="20"/>
        <v>13678.747504108082</v>
      </c>
      <c r="AD91" s="36">
        <f t="shared" si="20"/>
        <v>44411.653677102891</v>
      </c>
      <c r="AE91" s="35">
        <f t="shared" si="20"/>
        <v>152.92862844948272</v>
      </c>
      <c r="AF91" s="35">
        <f t="shared" si="20"/>
        <v>335.12250151390595</v>
      </c>
      <c r="AG91" s="35">
        <f t="shared" si="20"/>
        <v>1148.639208761595</v>
      </c>
      <c r="AH91" s="35">
        <f t="shared" si="20"/>
        <v>167.14129442131357</v>
      </c>
      <c r="AI91" s="35">
        <f t="shared" si="20"/>
        <v>147.17986209024016</v>
      </c>
      <c r="AJ91" s="51">
        <f>'Data Descriptors 2'!$V91-'Data Descriptors 2'!$X91</f>
        <v>0.23188222322822005</v>
      </c>
      <c r="AK91" s="51">
        <f>'Data Descriptors 2'!$V91-'Data Descriptors 2'!$Y91</f>
        <v>0.13203691059646916</v>
      </c>
    </row>
    <row r="92" spans="1:37">
      <c r="A92" s="32">
        <v>1999</v>
      </c>
      <c r="B92" s="33">
        <f>('[1]S&amp;P 500 &amp; Raw Data'!B75-'[1]S&amp;P 500 &amp; Raw Data'!B74+'[1]S&amp;P 500 &amp; Raw Data'!C75)/'[1]S&amp;P 500 &amp; Raw Data'!B74</f>
        <v>0.20885350992084475</v>
      </c>
      <c r="C92" s="33">
        <f>'[1]Small Cap'!B73</f>
        <v>0.38240000000000002</v>
      </c>
      <c r="D92" s="33">
        <f>'[1]T. Bill rates'!C77</f>
        <v>4.6384063745019917E-2</v>
      </c>
      <c r="E92" s="33">
        <f>'[1]S&amp;P 500 &amp; Raw Data'!F75</f>
        <v>-8.2542147962685761E-2</v>
      </c>
      <c r="F92" s="33">
        <f>'[1]S&amp;P 500 &amp; Raw Data'!J75</f>
        <v>9.0685450376237486E-3</v>
      </c>
      <c r="G92" s="33">
        <f>'[1]Home Prices'!B75/'[1]Home Prices'!B74-1</f>
        <v>7.6793267202493576E-2</v>
      </c>
      <c r="H92" s="33">
        <f>'[1]Gold Prices'!B74/'[1]Gold Prices'!B73-1</f>
        <v>8.5128561501042199E-3</v>
      </c>
      <c r="I92" s="34">
        <f t="shared" si="19"/>
        <v>156658.0490724665</v>
      </c>
      <c r="J92" s="35">
        <f t="shared" si="19"/>
        <v>581652.19942815916</v>
      </c>
      <c r="K92" s="35">
        <f t="shared" si="19"/>
        <v>1516.0468253839256</v>
      </c>
      <c r="L92" s="35">
        <f t="shared" si="19"/>
        <v>2912.8788088601259</v>
      </c>
      <c r="M92" s="35">
        <f t="shared" si="19"/>
        <v>10980.87657892531</v>
      </c>
      <c r="N92" s="35">
        <f t="shared" si="19"/>
        <v>1705.0958509641573</v>
      </c>
      <c r="O92" s="35">
        <f t="shared" si="19"/>
        <v>1406.2499999999995</v>
      </c>
      <c r="P92" s="67">
        <f t="shared" si="15"/>
        <v>0.16246944617582484</v>
      </c>
      <c r="Q92" s="67">
        <f t="shared" si="16"/>
        <v>0.2913956578835305</v>
      </c>
      <c r="R92" s="68">
        <f>'Data Descriptors 2'!$C92-'Data Descriptors 2'!$B92</f>
        <v>0.17354649007915526</v>
      </c>
      <c r="S92" s="68">
        <f t="shared" si="17"/>
        <v>0.19978496488322101</v>
      </c>
      <c r="T92" s="68">
        <f t="shared" si="9"/>
        <v>5.9634694818320177E-2</v>
      </c>
      <c r="U92" s="69">
        <f>'[1]Inflation Rate'!C97</f>
        <v>2.6845599999999997E-2</v>
      </c>
      <c r="V92" s="51">
        <f t="shared" si="18"/>
        <v>0.17724953967845303</v>
      </c>
      <c r="W92" s="51">
        <f t="shared" si="18"/>
        <v>0.34625887280424661</v>
      </c>
      <c r="X92" s="51">
        <f t="shared" si="18"/>
        <v>1.9027654931783378E-2</v>
      </c>
      <c r="Y92" s="51">
        <f t="shared" si="18"/>
        <v>-0.10652794145749434</v>
      </c>
      <c r="Z92" s="51">
        <f t="shared" si="18"/>
        <v>-1.731229598916928E-2</v>
      </c>
      <c r="AA92" s="51">
        <f t="shared" si="18"/>
        <v>4.8641847618077882E-2</v>
      </c>
      <c r="AB92" s="51">
        <f t="shared" si="18"/>
        <v>-1.7853457082443236E-2</v>
      </c>
      <c r="AC92" s="34">
        <f t="shared" si="20"/>
        <v>16103.299202589027</v>
      </c>
      <c r="AD92" s="36">
        <f t="shared" si="20"/>
        <v>59789.58281870911</v>
      </c>
      <c r="AE92" s="35">
        <f t="shared" si="20"/>
        <v>155.83850162081038</v>
      </c>
      <c r="AF92" s="35">
        <f t="shared" si="20"/>
        <v>299.42259129154354</v>
      </c>
      <c r="AG92" s="35">
        <f t="shared" si="20"/>
        <v>1128.7536267947492</v>
      </c>
      <c r="AH92" s="35">
        <f t="shared" si="20"/>
        <v>175.27135579524341</v>
      </c>
      <c r="AI92" s="35">
        <f t="shared" si="20"/>
        <v>144.55219273901216</v>
      </c>
      <c r="AJ92" s="51">
        <f>'Data Descriptors 2'!$V92-'Data Descriptors 2'!$X92</f>
        <v>0.15822188474666965</v>
      </c>
      <c r="AK92" s="51">
        <f>'Data Descriptors 2'!$V92-'Data Descriptors 2'!$Y92</f>
        <v>0.28377748113594736</v>
      </c>
    </row>
    <row r="93" spans="1:37">
      <c r="A93" s="32">
        <v>2000</v>
      </c>
      <c r="B93" s="33">
        <f>('[1]S&amp;P 500 &amp; Raw Data'!B76-'[1]S&amp;P 500 &amp; Raw Data'!B75+'[1]S&amp;P 500 &amp; Raw Data'!C76)/'[1]S&amp;P 500 &amp; Raw Data'!B75</f>
        <v>-9.0318189552492781E-2</v>
      </c>
      <c r="C93" s="33">
        <f>'[1]Small Cap'!B74</f>
        <v>-9.2899999999999996E-2</v>
      </c>
      <c r="D93" s="33">
        <f>'[1]T. Bill rates'!C78</f>
        <v>5.8198007968127491E-2</v>
      </c>
      <c r="E93" s="33">
        <f>'[1]S&amp;P 500 &amp; Raw Data'!F76</f>
        <v>0.16655267125397488</v>
      </c>
      <c r="F93" s="33">
        <f>'[1]S&amp;P 500 &amp; Raw Data'!J76</f>
        <v>9.3878146518094577E-2</v>
      </c>
      <c r="G93" s="33">
        <f>'[1]Home Prices'!B76/'[1]Home Prices'!B75-1</f>
        <v>9.2925599244539914E-2</v>
      </c>
      <c r="H93" s="33">
        <f>'[1]Gold Prices'!B75/'[1]Gold Prices'!B74-1</f>
        <v>-5.4435831180017269E-2</v>
      </c>
      <c r="I93" s="34">
        <f t="shared" si="19"/>
        <v>142508.97770141574</v>
      </c>
      <c r="J93" s="35">
        <f t="shared" si="19"/>
        <v>527616.71010128316</v>
      </c>
      <c r="K93" s="35">
        <f t="shared" si="19"/>
        <v>1604.2777306076737</v>
      </c>
      <c r="L93" s="35">
        <f t="shared" si="19"/>
        <v>3398.0265555148762</v>
      </c>
      <c r="M93" s="35">
        <f t="shared" si="19"/>
        <v>12011.740919298774</v>
      </c>
      <c r="N93" s="35">
        <f t="shared" si="19"/>
        <v>1863.5429046843803</v>
      </c>
      <c r="O93" s="35">
        <f t="shared" si="19"/>
        <v>1329.6996124031002</v>
      </c>
      <c r="P93" s="67">
        <f t="shared" si="15"/>
        <v>-0.14851619752062029</v>
      </c>
      <c r="Q93" s="67">
        <f t="shared" si="16"/>
        <v>-0.25687086080646765</v>
      </c>
      <c r="R93" s="68">
        <f>'Data Descriptors 2'!$C93-'Data Descriptors 2'!$B93</f>
        <v>-2.5818104475072157E-3</v>
      </c>
      <c r="S93" s="68">
        <f t="shared" si="17"/>
        <v>-0.18419633607058736</v>
      </c>
      <c r="T93" s="68">
        <f t="shared" si="9"/>
        <v>5.5111895842923087E-2</v>
      </c>
      <c r="U93" s="69">
        <f>'[1]Inflation Rate'!C98</f>
        <v>3.3868099999999998E-2</v>
      </c>
      <c r="V93" s="51">
        <f t="shared" si="18"/>
        <v>-0.12011811714907628</v>
      </c>
      <c r="W93" s="51">
        <f t="shared" si="18"/>
        <v>-0.12261535102978804</v>
      </c>
      <c r="X93" s="51">
        <f t="shared" si="18"/>
        <v>2.3532893575232139E-2</v>
      </c>
      <c r="Y93" s="51">
        <f t="shared" si="18"/>
        <v>0.12833800680567942</v>
      </c>
      <c r="Z93" s="51">
        <f t="shared" si="18"/>
        <v>5.8044199756327242E-2</v>
      </c>
      <c r="AA93" s="51">
        <f t="shared" si="18"/>
        <v>5.7122856624108875E-2</v>
      </c>
      <c r="AB93" s="51">
        <f t="shared" si="18"/>
        <v>-8.5411215589316747E-2</v>
      </c>
      <c r="AC93" s="34">
        <f t="shared" si="20"/>
        <v>14169.001222485811</v>
      </c>
      <c r="AD93" s="36">
        <f t="shared" si="20"/>
        <v>52458.462133468507</v>
      </c>
      <c r="AE93" s="35">
        <f t="shared" si="20"/>
        <v>159.50583249437653</v>
      </c>
      <c r="AF93" s="35">
        <f t="shared" si="20"/>
        <v>337.84988985049182</v>
      </c>
      <c r="AG93" s="35">
        <f t="shared" si="20"/>
        <v>1194.2712277841024</v>
      </c>
      <c r="AH93" s="35">
        <f t="shared" si="20"/>
        <v>185.28335632264827</v>
      </c>
      <c r="AI93" s="35">
        <f t="shared" si="20"/>
        <v>132.20581424107192</v>
      </c>
      <c r="AJ93" s="51">
        <f>'Data Descriptors 2'!$V93-'Data Descriptors 2'!$X93</f>
        <v>-0.14365101072430841</v>
      </c>
      <c r="AK93" s="51">
        <f>'Data Descriptors 2'!$V93-'Data Descriptors 2'!$Y93</f>
        <v>-0.24845612395475569</v>
      </c>
    </row>
    <row r="94" spans="1:37">
      <c r="A94" s="32">
        <v>2001</v>
      </c>
      <c r="B94" s="33">
        <f>('[1]S&amp;P 500 &amp; Raw Data'!B77-'[1]S&amp;P 500 &amp; Raw Data'!B76+'[1]S&amp;P 500 &amp; Raw Data'!C77)/'[1]S&amp;P 500 &amp; Raw Data'!B76</f>
        <v>-0.11849759142000185</v>
      </c>
      <c r="C94" s="33">
        <f>'[1]Small Cap'!B75</f>
        <v>0.32140000000000002</v>
      </c>
      <c r="D94" s="33">
        <f>'[1]T. Bill rates'!C79</f>
        <v>3.3993548387096777E-2</v>
      </c>
      <c r="E94" s="33">
        <f>'[1]S&amp;P 500 &amp; Raw Data'!F77</f>
        <v>5.5721811892492555E-2</v>
      </c>
      <c r="F94" s="33">
        <f>'[1]S&amp;P 500 &amp; Raw Data'!J77</f>
        <v>8.5387489183019236E-2</v>
      </c>
      <c r="G94" s="33">
        <f>'[1]Home Prices'!B77/'[1]Home Prices'!B76-1</f>
        <v>6.6760423560555893E-2</v>
      </c>
      <c r="H94" s="33">
        <f>'[1]Gold Prices'!B76/'[1]Gold Prices'!B75-1</f>
        <v>7.4694844233922364E-3</v>
      </c>
      <c r="I94" s="34">
        <f t="shared" si="19"/>
        <v>125622.00708807123</v>
      </c>
      <c r="J94" s="35">
        <f t="shared" si="19"/>
        <v>697192.72072783567</v>
      </c>
      <c r="K94" s="35">
        <f t="shared" si="19"/>
        <v>1658.8128232694276</v>
      </c>
      <c r="L94" s="35">
        <f t="shared" si="19"/>
        <v>3587.3707520469702</v>
      </c>
      <c r="M94" s="35">
        <f t="shared" si="19"/>
        <v>13037.393317114629</v>
      </c>
      <c r="N94" s="35">
        <f t="shared" si="19"/>
        <v>1987.9538183243783</v>
      </c>
      <c r="O94" s="35">
        <f t="shared" si="19"/>
        <v>1339.6317829457359</v>
      </c>
      <c r="P94" s="67">
        <f t="shared" si="15"/>
        <v>-0.15249113980709864</v>
      </c>
      <c r="Q94" s="67">
        <f t="shared" si="16"/>
        <v>-0.17421940331249441</v>
      </c>
      <c r="R94" s="68">
        <f>'Data Descriptors 2'!$C94-'Data Descriptors 2'!$B94</f>
        <v>0.43989759142000184</v>
      </c>
      <c r="S94" s="68">
        <f t="shared" si="17"/>
        <v>-0.20388508060302107</v>
      </c>
      <c r="T94" s="68">
        <f t="shared" si="9"/>
        <v>5.1665345512908356E-2</v>
      </c>
      <c r="U94" s="69">
        <f>'[1]Inflation Rate'!C99</f>
        <v>1.55172E-2</v>
      </c>
      <c r="V94" s="51">
        <f t="shared" si="18"/>
        <v>-0.13196703258202003</v>
      </c>
      <c r="W94" s="51">
        <f t="shared" si="18"/>
        <v>0.30120888154331626</v>
      </c>
      <c r="X94" s="51">
        <f t="shared" si="18"/>
        <v>1.8194028015573682E-2</v>
      </c>
      <c r="Y94" s="51">
        <f t="shared" si="18"/>
        <v>3.9590281575233366E-2</v>
      </c>
      <c r="Z94" s="51">
        <f t="shared" si="18"/>
        <v>6.8802664477784825E-2</v>
      </c>
      <c r="AA94" s="51">
        <f t="shared" si="18"/>
        <v>5.0460222200624516E-2</v>
      </c>
      <c r="AB94" s="51">
        <f t="shared" si="18"/>
        <v>-7.9247457124386189E-3</v>
      </c>
      <c r="AC94" s="34">
        <f t="shared" si="20"/>
        <v>12299.160176503345</v>
      </c>
      <c r="AD94" s="36">
        <f t="shared" si="20"/>
        <v>68259.416840172969</v>
      </c>
      <c r="AE94" s="35">
        <f t="shared" si="20"/>
        <v>162.40788607942662</v>
      </c>
      <c r="AF94" s="35">
        <f t="shared" si="20"/>
        <v>351.22546211983439</v>
      </c>
      <c r="AG94" s="35">
        <f t="shared" si="20"/>
        <v>1276.4402703648041</v>
      </c>
      <c r="AH94" s="35">
        <f t="shared" si="20"/>
        <v>194.63279565276659</v>
      </c>
      <c r="AI94" s="35">
        <f t="shared" si="20"/>
        <v>131.15811678150553</v>
      </c>
      <c r="AJ94" s="51">
        <f>'Data Descriptors 2'!$V94-'Data Descriptors 2'!$X94</f>
        <v>-0.15016106059759371</v>
      </c>
      <c r="AK94" s="51">
        <f>'Data Descriptors 2'!$V94-'Data Descriptors 2'!$Y94</f>
        <v>-0.17155731415725339</v>
      </c>
    </row>
    <row r="95" spans="1:37">
      <c r="A95" s="32">
        <v>2002</v>
      </c>
      <c r="B95" s="33">
        <f>('[1]S&amp;P 500 &amp; Raw Data'!B78-'[1]S&amp;P 500 &amp; Raw Data'!B77+'[1]S&amp;P 500 &amp; Raw Data'!C78)/'[1]S&amp;P 500 &amp; Raw Data'!B77</f>
        <v>-0.21966047957912699</v>
      </c>
      <c r="C95" s="33">
        <f>'[1]Small Cap'!B76</f>
        <v>-3.5799999999999998E-2</v>
      </c>
      <c r="D95" s="33">
        <f>'[1]T. Bill rates'!C80</f>
        <v>1.60532E-2</v>
      </c>
      <c r="E95" s="33">
        <f>'[1]S&amp;P 500 &amp; Raw Data'!F78</f>
        <v>0.15116400378109285</v>
      </c>
      <c r="F95" s="33">
        <f>'[1]S&amp;P 500 &amp; Raw Data'!J78</f>
        <v>0.12143658327667134</v>
      </c>
      <c r="G95" s="33">
        <f>'[1]Home Prices'!B78/'[1]Home Prices'!B77-1</f>
        <v>9.5609840161983595E-2</v>
      </c>
      <c r="H95" s="33">
        <f>'[1]Gold Prices'!B77/'[1]Gold Prices'!B76-1</f>
        <v>0.2556962025316456</v>
      </c>
      <c r="I95" s="34">
        <f t="shared" si="19"/>
        <v>98027.816765413008</v>
      </c>
      <c r="J95" s="35">
        <f t="shared" si="19"/>
        <v>672233.2213257791</v>
      </c>
      <c r="K95" s="35">
        <f t="shared" si="19"/>
        <v>1685.4420772839362</v>
      </c>
      <c r="L95" s="35">
        <f t="shared" si="19"/>
        <v>4129.6520779735802</v>
      </c>
      <c r="M95" s="35">
        <f t="shared" si="19"/>
        <v>14620.609816379138</v>
      </c>
      <c r="N95" s="35">
        <f t="shared" si="19"/>
        <v>2178.021765143777</v>
      </c>
      <c r="O95" s="35">
        <f t="shared" si="19"/>
        <v>1682.1705426356584</v>
      </c>
      <c r="P95" s="67">
        <f t="shared" si="15"/>
        <v>-0.23571367957912698</v>
      </c>
      <c r="Q95" s="67">
        <f t="shared" si="16"/>
        <v>-0.37082448336021984</v>
      </c>
      <c r="R95" s="68">
        <f>'Data Descriptors 2'!$C95-'Data Descriptors 2'!$B95</f>
        <v>0.18386047957912699</v>
      </c>
      <c r="S95" s="68">
        <f t="shared" si="17"/>
        <v>-0.34109706285579833</v>
      </c>
      <c r="T95" s="68">
        <f t="shared" si="9"/>
        <v>4.5325449773477855E-2</v>
      </c>
      <c r="U95" s="69">
        <f>'[1]Inflation Rate'!C100</f>
        <v>2.3769100000000001E-2</v>
      </c>
      <c r="V95" s="51">
        <f t="shared" si="18"/>
        <v>-0.23777781491854666</v>
      </c>
      <c r="W95" s="51">
        <f t="shared" si="18"/>
        <v>-5.8186069495553272E-2</v>
      </c>
      <c r="X95" s="51">
        <f t="shared" si="18"/>
        <v>-7.5367580443675974E-3</v>
      </c>
      <c r="Y95" s="51">
        <f t="shared" si="18"/>
        <v>0.12443714484163748</v>
      </c>
      <c r="Z95" s="51">
        <f t="shared" si="18"/>
        <v>9.5399913199833097E-2</v>
      </c>
      <c r="AA95" s="51">
        <f t="shared" si="18"/>
        <v>7.0172795957588185E-2</v>
      </c>
      <c r="AB95" s="51">
        <f t="shared" si="18"/>
        <v>0.22654239372105067</v>
      </c>
      <c r="AC95" s="34">
        <f t="shared" si="20"/>
        <v>9374.6927444011726</v>
      </c>
      <c r="AD95" s="36">
        <f t="shared" si="20"/>
        <v>64287.669668184724</v>
      </c>
      <c r="AE95" s="35">
        <f t="shared" si="20"/>
        <v>161.18385713754876</v>
      </c>
      <c r="AF95" s="35">
        <f t="shared" si="20"/>
        <v>394.93095582171128</v>
      </c>
      <c r="AG95" s="35">
        <f t="shared" si="20"/>
        <v>1398.2125613623778</v>
      </c>
      <c r="AH95" s="35">
        <f t="shared" si="20"/>
        <v>208.29072310876313</v>
      </c>
      <c r="AI95" s="35">
        <f t="shared" si="20"/>
        <v>160.87099051313288</v>
      </c>
      <c r="AJ95" s="51">
        <f>'Data Descriptors 2'!$V95-'Data Descriptors 2'!$X95</f>
        <v>-0.23024105687417906</v>
      </c>
      <c r="AK95" s="51">
        <f>'Data Descriptors 2'!$V95-'Data Descriptors 2'!$Y95</f>
        <v>-0.36221495976018414</v>
      </c>
    </row>
    <row r="96" spans="1:37">
      <c r="A96" s="32">
        <v>2003</v>
      </c>
      <c r="B96" s="33">
        <f>('[1]S&amp;P 500 &amp; Raw Data'!B79-'[1]S&amp;P 500 &amp; Raw Data'!B78+'[1]S&amp;P 500 &amp; Raw Data'!C79)/'[1]S&amp;P 500 &amp; Raw Data'!B78</f>
        <v>0.28355800050010233</v>
      </c>
      <c r="C96" s="33">
        <f>'[1]Small Cap'!B77</f>
        <v>0.91909999999999992</v>
      </c>
      <c r="D96" s="33">
        <f>'[1]T. Bill rates'!C81</f>
        <v>1.00836E-2</v>
      </c>
      <c r="E96" s="33">
        <f>'[1]S&amp;P 500 &amp; Raw Data'!F79</f>
        <v>3.7531858817758529E-3</v>
      </c>
      <c r="F96" s="33">
        <f>'[1]S&amp;P 500 &amp; Raw Data'!J79</f>
        <v>0.12316378506833342</v>
      </c>
      <c r="G96" s="33">
        <f>'[1]Home Prices'!B79/'[1]Home Prices'!B78-1</f>
        <v>9.8135287964704165E-2</v>
      </c>
      <c r="H96" s="33">
        <f>'[1]Gold Prices'!B78/'[1]Gold Prices'!B77-1</f>
        <v>0.1988767281105992</v>
      </c>
      <c r="I96" s="34">
        <f t="shared" si="19"/>
        <v>125824.38848080393</v>
      </c>
      <c r="J96" s="35">
        <f t="shared" si="19"/>
        <v>1290082.7750463025</v>
      </c>
      <c r="K96" s="35">
        <f t="shared" si="19"/>
        <v>1702.4374010144365</v>
      </c>
      <c r="L96" s="35">
        <f t="shared" si="19"/>
        <v>4145.1514298492766</v>
      </c>
      <c r="M96" s="35">
        <f t="shared" si="19"/>
        <v>16421.339461371623</v>
      </c>
      <c r="N96" s="35">
        <f t="shared" si="19"/>
        <v>2391.7625582595547</v>
      </c>
      <c r="O96" s="35">
        <f t="shared" si="19"/>
        <v>2016.7151162790694</v>
      </c>
      <c r="P96" s="67">
        <f t="shared" si="15"/>
        <v>0.2734744005001023</v>
      </c>
      <c r="Q96" s="67">
        <f t="shared" si="16"/>
        <v>0.27980481461832646</v>
      </c>
      <c r="R96" s="68">
        <f>'Data Descriptors 2'!$C96-'Data Descriptors 2'!$B96</f>
        <v>0.63554199949989765</v>
      </c>
      <c r="S96" s="68">
        <f t="shared" si="17"/>
        <v>0.16039421543176891</v>
      </c>
      <c r="T96" s="68">
        <f t="shared" si="9"/>
        <v>4.8237796117156506E-2</v>
      </c>
      <c r="U96" s="69">
        <f>'[1]Inflation Rate'!C101</f>
        <v>1.87949E-2</v>
      </c>
      <c r="V96" s="51">
        <f t="shared" si="18"/>
        <v>0.25987870620485265</v>
      </c>
      <c r="W96" s="51">
        <f t="shared" si="18"/>
        <v>0.88369611979800822</v>
      </c>
      <c r="X96" s="51">
        <f t="shared" si="18"/>
        <v>-8.5505924695933322E-3</v>
      </c>
      <c r="Y96" s="51">
        <f t="shared" si="18"/>
        <v>-1.4764222041378727E-2</v>
      </c>
      <c r="Z96" s="51">
        <f t="shared" si="18"/>
        <v>0.1024434702886059</v>
      </c>
      <c r="AA96" s="51">
        <f t="shared" si="18"/>
        <v>7.7876703117285118E-2</v>
      </c>
      <c r="AB96" s="51">
        <f t="shared" si="18"/>
        <v>0.17675964819866996</v>
      </c>
      <c r="AC96" s="34">
        <f t="shared" si="20"/>
        <v>11810.975765884168</v>
      </c>
      <c r="AD96" s="36">
        <f t="shared" si="20"/>
        <v>121098.43390481567</v>
      </c>
      <c r="AE96" s="35">
        <f t="shared" si="20"/>
        <v>159.80563966248843</v>
      </c>
      <c r="AF96" s="35">
        <f t="shared" si="20"/>
        <v>389.10010749894559</v>
      </c>
      <c r="AG96" s="35">
        <f t="shared" si="20"/>
        <v>1541.4503083494601</v>
      </c>
      <c r="AH96" s="35">
        <f t="shared" si="20"/>
        <v>224.51171791438892</v>
      </c>
      <c r="AI96" s="35">
        <f t="shared" si="20"/>
        <v>189.30649020160581</v>
      </c>
      <c r="AJ96" s="51">
        <f>'Data Descriptors 2'!$V96-'Data Descriptors 2'!$X96</f>
        <v>0.26842929867444598</v>
      </c>
      <c r="AK96" s="51">
        <f>'Data Descriptors 2'!$V96-'Data Descriptors 2'!$Y96</f>
        <v>0.27464292824623138</v>
      </c>
    </row>
    <row r="97" spans="1:37">
      <c r="A97" s="32">
        <v>2004</v>
      </c>
      <c r="B97" s="33">
        <f>('[1]S&amp;P 500 &amp; Raw Data'!B80-'[1]S&amp;P 500 &amp; Raw Data'!B79+'[1]S&amp;P 500 &amp; Raw Data'!C80)/'[1]S&amp;P 500 &amp; Raw Data'!B79</f>
        <v>0.10742775944096193</v>
      </c>
      <c r="C97" s="33">
        <f>'[1]Small Cap'!B78</f>
        <v>0.17489999999999997</v>
      </c>
      <c r="D97" s="33">
        <f>'[1]T. Bill rates'!C82</f>
        <v>1.3746400000000001E-2</v>
      </c>
      <c r="E97" s="33">
        <f>'[1]S&amp;P 500 &amp; Raw Data'!F80</f>
        <v>4.490683702274547E-2</v>
      </c>
      <c r="F97" s="33">
        <f>'[1]S&amp;P 500 &amp; Raw Data'!J80</f>
        <v>0.10345924468934715</v>
      </c>
      <c r="G97" s="33">
        <f>'[1]Home Prices'!B80/'[1]Home Prices'!B79-1</f>
        <v>0.13638284310565951</v>
      </c>
      <c r="H97" s="33">
        <f>'[1]Gold Prices'!B79/'[1]Gold Prices'!B78-1</f>
        <v>4.6486486486486456E-2</v>
      </c>
      <c r="I97" s="34">
        <f t="shared" si="19"/>
        <v>139341.42061832585</v>
      </c>
      <c r="J97" s="35">
        <f t="shared" si="19"/>
        <v>1515718.2524019009</v>
      </c>
      <c r="K97" s="35">
        <f t="shared" si="19"/>
        <v>1725.8397865037414</v>
      </c>
      <c r="L97" s="35">
        <f t="shared" si="19"/>
        <v>4331.2970695441181</v>
      </c>
      <c r="M97" s="35">
        <f t="shared" si="19"/>
        <v>18120.278838832503</v>
      </c>
      <c r="N97" s="35">
        <f t="shared" si="19"/>
        <v>2717.9579359886584</v>
      </c>
      <c r="O97" s="35">
        <f t="shared" si="19"/>
        <v>2110.4651162790692</v>
      </c>
      <c r="P97" s="67">
        <f t="shared" si="15"/>
        <v>9.3681359440961925E-2</v>
      </c>
      <c r="Q97" s="67">
        <f t="shared" si="16"/>
        <v>6.2520922418216468E-2</v>
      </c>
      <c r="R97" s="68">
        <f>'Data Descriptors 2'!$C97-'Data Descriptors 2'!$B97</f>
        <v>6.7472240559038041E-2</v>
      </c>
      <c r="S97" s="68">
        <f t="shared" si="17"/>
        <v>3.9685147516147767E-3</v>
      </c>
      <c r="T97" s="68">
        <f t="shared" si="9"/>
        <v>4.842299846885445E-2</v>
      </c>
      <c r="U97" s="69">
        <f>'[1]Inflation Rate'!C102</f>
        <v>3.2555599999999997E-2</v>
      </c>
      <c r="V97" s="51">
        <f t="shared" si="18"/>
        <v>7.2511503923819554E-2</v>
      </c>
      <c r="W97" s="51">
        <f t="shared" si="18"/>
        <v>0.13785640211529526</v>
      </c>
      <c r="X97" s="51">
        <f t="shared" si="18"/>
        <v>-1.8216161919028862E-2</v>
      </c>
      <c r="Y97" s="51">
        <f t="shared" si="18"/>
        <v>1.1961813022703494E-2</v>
      </c>
      <c r="Z97" s="51">
        <f t="shared" si="18"/>
        <v>6.8668113067564818E-2</v>
      </c>
      <c r="AA97" s="51">
        <f t="shared" si="18"/>
        <v>0.10055365842348785</v>
      </c>
      <c r="AB97" s="51">
        <f t="shared" si="18"/>
        <v>1.3491657482160191E-2</v>
      </c>
      <c r="AC97" s="34">
        <f t="shared" si="20"/>
        <v>12667.407381476216</v>
      </c>
      <c r="AD97" s="36">
        <f t="shared" si="20"/>
        <v>137792.62830473043</v>
      </c>
      <c r="AE97" s="35">
        <f t="shared" si="20"/>
        <v>156.89459425482255</v>
      </c>
      <c r="AF97" s="35">
        <f t="shared" si="20"/>
        <v>393.75445023196181</v>
      </c>
      <c r="AG97" s="35">
        <f t="shared" si="20"/>
        <v>1647.2987924112335</v>
      </c>
      <c r="AH97" s="35">
        <f t="shared" si="20"/>
        <v>247.08719250962284</v>
      </c>
      <c r="AI97" s="35">
        <f t="shared" si="20"/>
        <v>191.86054852655579</v>
      </c>
      <c r="AJ97" s="51">
        <f>'Data Descriptors 2'!$V97-'Data Descriptors 2'!$X97</f>
        <v>9.0727665842848415E-2</v>
      </c>
      <c r="AK97" s="51">
        <f>'Data Descriptors 2'!$V97-'Data Descriptors 2'!$Y97</f>
        <v>6.054969090111606E-2</v>
      </c>
    </row>
    <row r="98" spans="1:37">
      <c r="A98" s="32">
        <v>2005</v>
      </c>
      <c r="B98" s="33">
        <f>('[1]S&amp;P 500 &amp; Raw Data'!B81-'[1]S&amp;P 500 &amp; Raw Data'!B80+'[1]S&amp;P 500 &amp; Raw Data'!C81)/'[1]S&amp;P 500 &amp; Raw Data'!B80</f>
        <v>4.8344775232688535E-2</v>
      </c>
      <c r="C98" s="33">
        <f>'[1]Small Cap'!B79</f>
        <v>3.9300000000000002E-2</v>
      </c>
      <c r="D98" s="33">
        <f>'[1]T. Bill rates'!C83</f>
        <v>3.1491600000000002E-2</v>
      </c>
      <c r="E98" s="33">
        <f>'[1]S&amp;P 500 &amp; Raw Data'!F81</f>
        <v>2.8675329597779506E-2</v>
      </c>
      <c r="F98" s="33">
        <f>'[1]S&amp;P 500 &amp; Raw Data'!J81</f>
        <v>5.2983848835185088E-2</v>
      </c>
      <c r="G98" s="33">
        <f>'[1]Home Prices'!B81/'[1]Home Prices'!B80-1</f>
        <v>0.13509629928406475</v>
      </c>
      <c r="H98" s="33">
        <f>'[1]Gold Prices'!B80/'[1]Gold Prices'!B79-1</f>
        <v>0.1776859504132231</v>
      </c>
      <c r="I98" s="34">
        <f t="shared" si="19"/>
        <v>146077.8502787223</v>
      </c>
      <c r="J98" s="35">
        <f t="shared" si="19"/>
        <v>1575285.9797212954</v>
      </c>
      <c r="K98" s="35">
        <f t="shared" si="19"/>
        <v>1780.1892427244027</v>
      </c>
      <c r="L98" s="35">
        <f t="shared" si="19"/>
        <v>4455.4984405991927</v>
      </c>
      <c r="M98" s="35">
        <f t="shared" si="19"/>
        <v>19080.360953680607</v>
      </c>
      <c r="N98" s="35">
        <f t="shared" si="19"/>
        <v>3085.1439947504809</v>
      </c>
      <c r="O98" s="35">
        <f t="shared" si="19"/>
        <v>2485.4651162790692</v>
      </c>
      <c r="P98" s="67">
        <f t="shared" si="15"/>
        <v>1.6853175232688533E-2</v>
      </c>
      <c r="Q98" s="67">
        <f t="shared" si="16"/>
        <v>1.9669445634909029E-2</v>
      </c>
      <c r="R98" s="68">
        <f>'Data Descriptors 2'!$C98-'Data Descriptors 2'!$B98</f>
        <v>-9.0447752326885331E-3</v>
      </c>
      <c r="S98" s="68">
        <f t="shared" si="17"/>
        <v>-4.6390736024965532E-3</v>
      </c>
      <c r="T98" s="68">
        <f t="shared" si="9"/>
        <v>4.8042189402255131E-2</v>
      </c>
      <c r="U98" s="69">
        <f>'[1]Inflation Rate'!C103</f>
        <v>3.4156600000000002E-2</v>
      </c>
      <c r="V98" s="51">
        <f t="shared" si="18"/>
        <v>1.3719561653127155E-2</v>
      </c>
      <c r="W98" s="51">
        <f t="shared" si="18"/>
        <v>4.9735214183228571E-3</v>
      </c>
      <c r="X98" s="51">
        <f t="shared" si="18"/>
        <v>-2.5769791538340359E-3</v>
      </c>
      <c r="Y98" s="51">
        <f t="shared" si="18"/>
        <v>-5.3002324814447332E-3</v>
      </c>
      <c r="Z98" s="51">
        <f t="shared" si="18"/>
        <v>1.8205413798243919E-2</v>
      </c>
      <c r="AA98" s="51">
        <f t="shared" si="18"/>
        <v>9.7605816453779637E-2</v>
      </c>
      <c r="AB98" s="51">
        <f t="shared" si="18"/>
        <v>0.13878879698995594</v>
      </c>
      <c r="AC98" s="34">
        <f t="shared" si="20"/>
        <v>12841.198658031657</v>
      </c>
      <c r="AD98" s="36">
        <f t="shared" si="20"/>
        <v>138477.94289289101</v>
      </c>
      <c r="AE98" s="35">
        <f t="shared" si="20"/>
        <v>156.49028015607863</v>
      </c>
      <c r="AF98" s="35">
        <f t="shared" si="20"/>
        <v>391.66746010512895</v>
      </c>
      <c r="AG98" s="35">
        <f t="shared" si="20"/>
        <v>1677.2885485764275</v>
      </c>
      <c r="AH98" s="35">
        <f t="shared" si="20"/>
        <v>271.20433966979681</v>
      </c>
      <c r="AI98" s="35">
        <f t="shared" si="20"/>
        <v>218.48864324638953</v>
      </c>
      <c r="AJ98" s="51">
        <f>'Data Descriptors 2'!$V98-'Data Descriptors 2'!$X98</f>
        <v>1.6296540806961191E-2</v>
      </c>
      <c r="AK98" s="51">
        <f>'Data Descriptors 2'!$V98-'Data Descriptors 2'!$Y98</f>
        <v>1.9019794134571888E-2</v>
      </c>
    </row>
    <row r="99" spans="1:37">
      <c r="A99" s="32">
        <v>2006</v>
      </c>
      <c r="B99" s="33">
        <f>('[1]S&amp;P 500 &amp; Raw Data'!B82-'[1]S&amp;P 500 &amp; Raw Data'!B81+'[1]S&amp;P 500 &amp; Raw Data'!C82)/'[1]S&amp;P 500 &amp; Raw Data'!B81</f>
        <v>0.15612557979315703</v>
      </c>
      <c r="C99" s="33">
        <f>'[1]Small Cap'!B80</f>
        <v>0.18469999999999998</v>
      </c>
      <c r="D99" s="33">
        <f>'[1]T. Bill rates'!C84</f>
        <v>4.7300000000000002E-2</v>
      </c>
      <c r="E99" s="33">
        <f>'[1]S&amp;P 500 &amp; Raw Data'!F82</f>
        <v>1.9610012417568386E-2</v>
      </c>
      <c r="F99" s="33">
        <f>'[1]S&amp;P 500 &amp; Raw Data'!J82</f>
        <v>5.1964610076620635E-2</v>
      </c>
      <c r="G99" s="33">
        <f>'[1]Home Prices'!B82/'[1]Home Prices'!B81-1</f>
        <v>1.7328491793812573E-2</v>
      </c>
      <c r="H99" s="33">
        <f>'[1]Gold Prices'!B81/'[1]Gold Prices'!B80-1</f>
        <v>0.23196881091617927</v>
      </c>
      <c r="I99" s="34">
        <f t="shared" si="19"/>
        <v>168884.33934842583</v>
      </c>
      <c r="J99" s="35">
        <f t="shared" si="19"/>
        <v>1866241.3001758184</v>
      </c>
      <c r="K99" s="35">
        <f t="shared" si="19"/>
        <v>1864.3921939052668</v>
      </c>
      <c r="L99" s="35">
        <f t="shared" si="19"/>
        <v>4542.8708203458</v>
      </c>
      <c r="M99" s="35">
        <f t="shared" si="19"/>
        <v>20071.8644707598</v>
      </c>
      <c r="N99" s="35">
        <f t="shared" si="19"/>
        <v>3138.6048871462449</v>
      </c>
      <c r="O99" s="35">
        <f t="shared" si="19"/>
        <v>3062.0155038759681</v>
      </c>
      <c r="P99" s="67">
        <f t="shared" si="15"/>
        <v>0.10882557979315702</v>
      </c>
      <c r="Q99" s="67">
        <f t="shared" si="16"/>
        <v>0.13651556737558865</v>
      </c>
      <c r="R99" s="68">
        <f>'Data Descriptors 2'!$C99-'Data Descriptors 2'!$B99</f>
        <v>2.8574420206842949E-2</v>
      </c>
      <c r="S99" s="68">
        <f t="shared" si="17"/>
        <v>0.10416096971653639</v>
      </c>
      <c r="T99" s="68">
        <f t="shared" si="9"/>
        <v>4.9149036004805913E-2</v>
      </c>
      <c r="U99" s="69">
        <f>'[1]Inflation Rate'!C104</f>
        <v>2.5406499999999999E-2</v>
      </c>
      <c r="V99" s="51">
        <f t="shared" si="18"/>
        <v>0.12748025275162322</v>
      </c>
      <c r="W99" s="51">
        <f t="shared" si="18"/>
        <v>0.15534668446123567</v>
      </c>
      <c r="X99" s="51">
        <f t="shared" si="18"/>
        <v>2.1351044683254994E-2</v>
      </c>
      <c r="Y99" s="51">
        <f t="shared" si="18"/>
        <v>-5.6528679917978719E-3</v>
      </c>
      <c r="Z99" s="51">
        <f t="shared" si="18"/>
        <v>2.5900079701679957E-2</v>
      </c>
      <c r="AA99" s="51">
        <f t="shared" si="18"/>
        <v>-7.8778593720513213E-3</v>
      </c>
      <c r="AB99" s="51">
        <f t="shared" si="18"/>
        <v>0.20144431590416034</v>
      </c>
      <c r="AC99" s="34">
        <f t="shared" si="20"/>
        <v>14478.197908591337</v>
      </c>
      <c r="AD99" s="36">
        <f t="shared" si="20"/>
        <v>159990.03219231396</v>
      </c>
      <c r="AE99" s="35">
        <f t="shared" si="20"/>
        <v>159.83151112018615</v>
      </c>
      <c r="AF99" s="35">
        <f t="shared" si="20"/>
        <v>389.45341565647192</v>
      </c>
      <c r="AG99" s="35">
        <f t="shared" si="20"/>
        <v>1720.7304556672721</v>
      </c>
      <c r="AH99" s="35">
        <f t="shared" si="20"/>
        <v>269.06783002078811</v>
      </c>
      <c r="AI99" s="35">
        <f t="shared" si="20"/>
        <v>262.50193851798662</v>
      </c>
      <c r="AJ99" s="51">
        <f>'Data Descriptors 2'!$V99-'Data Descriptors 2'!$X99</f>
        <v>0.10612920806836823</v>
      </c>
      <c r="AK99" s="51">
        <f>'Data Descriptors 2'!$V99-'Data Descriptors 2'!$Y99</f>
        <v>0.1331331207434211</v>
      </c>
    </row>
    <row r="100" spans="1:37">
      <c r="A100" s="32">
        <v>2007</v>
      </c>
      <c r="B100" s="33">
        <f>('[1]S&amp;P 500 &amp; Raw Data'!B83-'[1]S&amp;P 500 &amp; Raw Data'!B82+'[1]S&amp;P 500 &amp; Raw Data'!C83)/'[1]S&amp;P 500 &amp; Raw Data'!B82</f>
        <v>5.4847352464217694E-2</v>
      </c>
      <c r="C100" s="33">
        <f>'[1]Small Cap'!B81</f>
        <v>-9.1499999999999998E-2</v>
      </c>
      <c r="D100" s="33">
        <f>'[1]T. Bill rates'!C85</f>
        <v>4.3619521912350592E-2</v>
      </c>
      <c r="E100" s="33">
        <f>'[1]S&amp;P 500 &amp; Raw Data'!F83</f>
        <v>0.10209921930012807</v>
      </c>
      <c r="F100" s="33">
        <f>'[1]S&amp;P 500 &amp; Raw Data'!J83</f>
        <v>4.8445754357525184E-2</v>
      </c>
      <c r="G100" s="33">
        <f>'[1]Home Prices'!B83/'[1]Home Prices'!B82-1</f>
        <v>-5.3992544848255553E-2</v>
      </c>
      <c r="H100" s="33">
        <f>'[1]Gold Prices'!B82/'[1]Gold Prices'!B81-1</f>
        <v>0.31922468354430378</v>
      </c>
      <c r="I100" s="34">
        <f t="shared" si="19"/>
        <v>178147.19823435548</v>
      </c>
      <c r="J100" s="35">
        <f t="shared" si="19"/>
        <v>1695480.221209731</v>
      </c>
      <c r="K100" s="35">
        <f t="shared" si="19"/>
        <v>1945.7160900605329</v>
      </c>
      <c r="L100" s="35">
        <f t="shared" si="19"/>
        <v>5006.6943844844382</v>
      </c>
      <c r="M100" s="35">
        <f t="shared" si="19"/>
        <v>21044.261086407765</v>
      </c>
      <c r="N100" s="35">
        <f t="shared" si="19"/>
        <v>2969.1436220160472</v>
      </c>
      <c r="O100" s="35">
        <f t="shared" si="19"/>
        <v>4039.4864341085258</v>
      </c>
      <c r="P100" s="67">
        <f t="shared" si="15"/>
        <v>1.1227830551867102E-2</v>
      </c>
      <c r="Q100" s="67">
        <f t="shared" si="16"/>
        <v>-4.7251866835910372E-2</v>
      </c>
      <c r="R100" s="68">
        <f>'Data Descriptors 2'!$C100-'Data Descriptors 2'!$B100</f>
        <v>-0.14634735246421771</v>
      </c>
      <c r="S100" s="68">
        <f t="shared" si="17"/>
        <v>6.4015981066925104E-3</v>
      </c>
      <c r="T100" s="68">
        <f t="shared" si="9"/>
        <v>4.7948712238125024E-2</v>
      </c>
      <c r="U100" s="69">
        <f>'[1]Inflation Rate'!C105</f>
        <v>4.08127E-2</v>
      </c>
      <c r="V100" s="51">
        <f t="shared" si="18"/>
        <v>1.3484320919813664E-2</v>
      </c>
      <c r="W100" s="51">
        <f t="shared" si="18"/>
        <v>-0.12712440960799198</v>
      </c>
      <c r="X100" s="51">
        <f t="shared" si="18"/>
        <v>2.6967598611646881E-3</v>
      </c>
      <c r="Y100" s="51">
        <f t="shared" si="18"/>
        <v>5.8883331554397733E-2</v>
      </c>
      <c r="Z100" s="51">
        <f t="shared" si="18"/>
        <v>7.3337444455905398E-3</v>
      </c>
      <c r="AA100" s="51">
        <f t="shared" si="18"/>
        <v>-9.1087709487264745E-2</v>
      </c>
      <c r="AB100" s="51">
        <f t="shared" si="18"/>
        <v>0.26749479857836445</v>
      </c>
      <c r="AC100" s="34">
        <f t="shared" si="20"/>
        <v>14673.426575531357</v>
      </c>
      <c r="AD100" s="36">
        <f t="shared" si="20"/>
        <v>139651.3938067024</v>
      </c>
      <c r="AE100" s="35">
        <f t="shared" si="20"/>
        <v>160.26253832392436</v>
      </c>
      <c r="AF100" s="35">
        <f t="shared" si="20"/>
        <v>412.38573025556462</v>
      </c>
      <c r="AG100" s="35">
        <f t="shared" si="20"/>
        <v>1733.3498530888803</v>
      </c>
      <c r="AH100" s="35">
        <f t="shared" si="20"/>
        <v>244.55905768748582</v>
      </c>
      <c r="AI100" s="35">
        <f t="shared" si="20"/>
        <v>332.71984168828567</v>
      </c>
      <c r="AJ100" s="51">
        <f>'Data Descriptors 2'!$V100-'Data Descriptors 2'!$X100</f>
        <v>1.0787561058648976E-2</v>
      </c>
      <c r="AK100" s="51">
        <f>'Data Descriptors 2'!$V100-'Data Descriptors 2'!$Y100</f>
        <v>-4.5399010634584069E-2</v>
      </c>
    </row>
    <row r="101" spans="1:37">
      <c r="A101" s="32">
        <v>2008</v>
      </c>
      <c r="B101" s="33">
        <f>('[1]S&amp;P 500 &amp; Raw Data'!B84-'[1]S&amp;P 500 &amp; Raw Data'!B83+'[1]S&amp;P 500 &amp; Raw Data'!C84)/'[1]S&amp;P 500 &amp; Raw Data'!B83</f>
        <v>-0.36552344111798191</v>
      </c>
      <c r="C101" s="33">
        <f>'[1]Small Cap'!B82</f>
        <v>-0.44840000000000002</v>
      </c>
      <c r="D101" s="33">
        <f>'[1]T. Bill rates'!C86</f>
        <v>1.3713147410358567E-2</v>
      </c>
      <c r="E101" s="33">
        <f>'[1]S&amp;P 500 &amp; Raw Data'!F84</f>
        <v>0.20101279926977011</v>
      </c>
      <c r="F101" s="33">
        <f>'[1]S&amp;P 500 &amp; Raw Data'!J84</f>
        <v>-3.540309867144642E-2</v>
      </c>
      <c r="G101" s="33">
        <f>'[1]Home Prices'!B84/'[1]Home Prices'!B83-1</f>
        <v>-0.11995200073845091</v>
      </c>
      <c r="H101" s="33">
        <f>'[1]Gold Prices'!B83/'[1]Gold Prices'!B82-1</f>
        <v>4.3178410794602717E-2</v>
      </c>
      <c r="I101" s="34">
        <f t="shared" si="19"/>
        <v>113030.22131020659</v>
      </c>
      <c r="J101" s="35">
        <f t="shared" si="19"/>
        <v>935226.89001928759</v>
      </c>
      <c r="K101" s="35">
        <f t="shared" si="19"/>
        <v>1972.3979816222397</v>
      </c>
      <c r="L101" s="35">
        <f t="shared" si="19"/>
        <v>6013.1040377978934</v>
      </c>
      <c r="M101" s="35">
        <f t="shared" si="19"/>
        <v>20299.22903469799</v>
      </c>
      <c r="N101" s="35">
        <f t="shared" si="19"/>
        <v>2612.9889040754115</v>
      </c>
      <c r="O101" s="35">
        <f t="shared" si="19"/>
        <v>4213.905038759689</v>
      </c>
      <c r="P101" s="67">
        <f t="shared" si="15"/>
        <v>-0.37923658852834047</v>
      </c>
      <c r="Q101" s="67">
        <f t="shared" si="16"/>
        <v>-0.56653624038775208</v>
      </c>
      <c r="R101" s="68">
        <f>'Data Descriptors 2'!$C101-'Data Descriptors 2'!$B101</f>
        <v>-8.2876558882018114E-2</v>
      </c>
      <c r="S101" s="68">
        <f t="shared" si="17"/>
        <v>-0.33012034244653549</v>
      </c>
      <c r="T101" s="68">
        <f t="shared" si="9"/>
        <v>3.8795868868689798E-2</v>
      </c>
      <c r="U101" s="69">
        <f>'[1]Inflation Rate'!C106</f>
        <v>9.1410000000000005E-4</v>
      </c>
      <c r="V101" s="51">
        <f t="shared" si="18"/>
        <v>-0.36610288646946021</v>
      </c>
      <c r="W101" s="51">
        <f t="shared" si="18"/>
        <v>-0.44890375707565711</v>
      </c>
      <c r="X101" s="51">
        <f t="shared" si="18"/>
        <v>1.2787358485966793E-2</v>
      </c>
      <c r="Y101" s="51">
        <f t="shared" si="18"/>
        <v>0.19991595609430446</v>
      </c>
      <c r="Z101" s="51">
        <f t="shared" si="18"/>
        <v>-3.6284031438308606E-2</v>
      </c>
      <c r="AA101" s="51">
        <f t="shared" si="18"/>
        <v>-0.12075571793668494</v>
      </c>
      <c r="AB101" s="51">
        <f t="shared" si="18"/>
        <v>4.2225712271015903E-2</v>
      </c>
      <c r="AC101" s="34">
        <f t="shared" si="20"/>
        <v>9301.4427518316406</v>
      </c>
      <c r="AD101" s="36">
        <f t="shared" si="20"/>
        <v>76961.358446021535</v>
      </c>
      <c r="AE101" s="35">
        <f t="shared" si="20"/>
        <v>162.31187285334337</v>
      </c>
      <c r="AF101" s="35">
        <f t="shared" si="20"/>
        <v>494.82821779925376</v>
      </c>
      <c r="AG101" s="35">
        <f t="shared" si="20"/>
        <v>1670.4569325258158</v>
      </c>
      <c r="AH101" s="35">
        <f t="shared" si="20"/>
        <v>215.02715309851433</v>
      </c>
      <c r="AI101" s="35">
        <f t="shared" si="20"/>
        <v>346.7691739902732</v>
      </c>
      <c r="AJ101" s="51">
        <f>'Data Descriptors 2'!$V101-'Data Descriptors 2'!$X101</f>
        <v>-0.378890244955427</v>
      </c>
      <c r="AK101" s="51">
        <f>'Data Descriptors 2'!$V101-'Data Descriptors 2'!$Y101</f>
        <v>-0.56601884256376467</v>
      </c>
    </row>
    <row r="102" spans="1:37">
      <c r="A102" s="32">
        <v>2009</v>
      </c>
      <c r="B102" s="33">
        <f>('[1]S&amp;P 500 &amp; Raw Data'!B85-'[1]S&amp;P 500 &amp; Raw Data'!B84+'[1]S&amp;P 500 &amp; Raw Data'!C85)/'[1]S&amp;P 500 &amp; Raw Data'!B84</f>
        <v>0.25935233877663982</v>
      </c>
      <c r="C102" s="33">
        <f>'[1]Small Cap'!B83</f>
        <v>0.47479999999999994</v>
      </c>
      <c r="D102" s="33">
        <f>'[1]T. Bill rates'!C87</f>
        <v>1.5051999999999999E-3</v>
      </c>
      <c r="E102" s="33">
        <f>'[1]S&amp;P 500 &amp; Raw Data'!F85</f>
        <v>-0.11116695313259162</v>
      </c>
      <c r="F102" s="33">
        <f>'[1]S&amp;P 500 &amp; Raw Data'!J85</f>
        <v>0.20209649577883115</v>
      </c>
      <c r="G102" s="33">
        <f>'[1]Home Prices'!B85/'[1]Home Prices'!B84-1</f>
        <v>-3.853970002097773E-2</v>
      </c>
      <c r="H102" s="33">
        <f>'[1]Gold Prices'!B84/'[1]Gold Prices'!B83-1</f>
        <v>0.25035929864903705</v>
      </c>
      <c r="I102" s="34">
        <f t="shared" ref="I102:O117" si="21">I101*(1+B102)</f>
        <v>142344.87355944986</v>
      </c>
      <c r="J102" s="35">
        <f t="shared" si="21"/>
        <v>1379272.6174004453</v>
      </c>
      <c r="K102" s="35">
        <f t="shared" si="21"/>
        <v>1975.3668350641774</v>
      </c>
      <c r="L102" s="35">
        <f t="shared" si="21"/>
        <v>5344.6455830466175</v>
      </c>
      <c r="M102" s="35">
        <f t="shared" si="21"/>
        <v>24401.632089622359</v>
      </c>
      <c r="N102" s="35">
        <f t="shared" si="21"/>
        <v>2512.2850955542017</v>
      </c>
      <c r="O102" s="35">
        <f t="shared" si="21"/>
        <v>5268.8953488372081</v>
      </c>
      <c r="P102" s="67">
        <f t="shared" si="15"/>
        <v>0.25784713877663984</v>
      </c>
      <c r="Q102" s="67">
        <f t="shared" si="16"/>
        <v>0.37051929190923144</v>
      </c>
      <c r="R102" s="68">
        <f>'Data Descriptors 2'!$C102-'Data Descriptors 2'!$B102</f>
        <v>0.21544766122336012</v>
      </c>
      <c r="S102" s="68">
        <f t="shared" si="17"/>
        <v>5.725584299780867E-2</v>
      </c>
      <c r="T102" s="68">
        <f t="shared" si="9"/>
        <v>4.2868506133348472E-2</v>
      </c>
      <c r="U102" s="69">
        <f>'[1]Inflation Rate'!C107</f>
        <v>2.7213299999999999E-2</v>
      </c>
      <c r="V102" s="51">
        <f t="shared" si="18"/>
        <v>0.22598912881739341</v>
      </c>
      <c r="W102" s="51">
        <f t="shared" si="18"/>
        <v>0.43572907399076688</v>
      </c>
      <c r="X102" s="51">
        <f t="shared" si="18"/>
        <v>-2.5027031873516514E-2</v>
      </c>
      <c r="Y102" s="51">
        <f t="shared" si="18"/>
        <v>-0.13471423426136686</v>
      </c>
      <c r="Z102" s="51">
        <f t="shared" si="18"/>
        <v>0.17025012797130934</v>
      </c>
      <c r="AA102" s="51">
        <f t="shared" si="18"/>
        <v>-6.4011048163977069E-2</v>
      </c>
      <c r="AB102" s="51">
        <f t="shared" si="18"/>
        <v>0.21723433550659532</v>
      </c>
      <c r="AC102" s="34">
        <f t="shared" ref="AC102:AI116" si="22">AC101*(1+V102)</f>
        <v>11403.467696062931</v>
      </c>
      <c r="AD102" s="36">
        <f t="shared" si="22"/>
        <v>110495.65989477799</v>
      </c>
      <c r="AE102" s="35">
        <f t="shared" si="22"/>
        <v>158.2496884379926</v>
      </c>
      <c r="AF102" s="35">
        <f t="shared" si="22"/>
        <v>428.16781334751045</v>
      </c>
      <c r="AG102" s="35">
        <f t="shared" si="22"/>
        <v>1954.8524390588968</v>
      </c>
      <c r="AH102" s="35">
        <f t="shared" si="22"/>
        <v>201.26303964496245</v>
      </c>
      <c r="AI102" s="35">
        <f t="shared" si="22"/>
        <v>422.09934507622114</v>
      </c>
      <c r="AJ102" s="51">
        <f>'Data Descriptors 2'!$V102-'Data Descriptors 2'!$X102</f>
        <v>0.25101616069090993</v>
      </c>
      <c r="AK102" s="51">
        <f>'Data Descriptors 2'!$V102-'Data Descriptors 2'!$Y102</f>
        <v>0.36070336307876028</v>
      </c>
    </row>
    <row r="103" spans="1:37">
      <c r="A103" s="32">
        <v>2010</v>
      </c>
      <c r="B103" s="33">
        <f>('[1]S&amp;P 500 &amp; Raw Data'!B86-'[1]S&amp;P 500 &amp; Raw Data'!B85+'[1]S&amp;P 500 &amp; Raw Data'!C86)/'[1]S&amp;P 500 &amp; Raw Data'!B85</f>
        <v>0.14821092278719414</v>
      </c>
      <c r="C103" s="33">
        <f>'[1]Small Cap'!B84</f>
        <v>0.28239999999999998</v>
      </c>
      <c r="D103" s="33">
        <f>'[1]T. Bill rates'!C88</f>
        <v>1.3844621513944221E-3</v>
      </c>
      <c r="E103" s="33">
        <f>'[1]S&amp;P 500 &amp; Raw Data'!F86</f>
        <v>8.4629338803557719E-2</v>
      </c>
      <c r="F103" s="33">
        <f>'[1]S&amp;P 500 &amp; Raw Data'!J86</f>
        <v>9.4104971085132647E-2</v>
      </c>
      <c r="G103" s="33">
        <f>'[1]Home Prices'!B86/'[1]Home Prices'!B85-1</f>
        <v>-4.1175467903037721E-2</v>
      </c>
      <c r="H103" s="33">
        <f>'[1]Gold Prices'!B85/'[1]Gold Prices'!B84-1</f>
        <v>0.29241379310344828</v>
      </c>
      <c r="I103" s="34">
        <f t="shared" si="21"/>
        <v>163441.93862372241</v>
      </c>
      <c r="J103" s="35">
        <f t="shared" si="21"/>
        <v>1768779.204554331</v>
      </c>
      <c r="K103" s="35">
        <f t="shared" si="21"/>
        <v>1978.1016556824434</v>
      </c>
      <c r="L103" s="35">
        <f t="shared" si="21"/>
        <v>5796.9594048792078</v>
      </c>
      <c r="M103" s="35">
        <f t="shared" si="21"/>
        <v>26697.946971846319</v>
      </c>
      <c r="N103" s="35">
        <f t="shared" si="21"/>
        <v>2408.8405812389296</v>
      </c>
      <c r="O103" s="35">
        <f t="shared" si="21"/>
        <v>6809.5930232558121</v>
      </c>
      <c r="P103" s="67">
        <f t="shared" si="15"/>
        <v>0.14682646063579971</v>
      </c>
      <c r="Q103" s="67">
        <f t="shared" si="16"/>
        <v>6.3581583983636419E-2</v>
      </c>
      <c r="R103" s="68">
        <f>'Data Descriptors 2'!$C103-'Data Descriptors 2'!$B103</f>
        <v>0.13418907721280585</v>
      </c>
      <c r="S103" s="68">
        <f t="shared" si="17"/>
        <v>5.4105951702061492E-2</v>
      </c>
      <c r="T103" s="68">
        <f t="shared" si="9"/>
        <v>4.3108516433475463E-2</v>
      </c>
      <c r="U103" s="69">
        <f>'[1]Inflation Rate'!C108</f>
        <v>1.4957199999999999E-2</v>
      </c>
      <c r="V103" s="51">
        <f t="shared" si="18"/>
        <v>0.13128999211710024</v>
      </c>
      <c r="W103" s="51">
        <f t="shared" si="18"/>
        <v>0.26350155454830992</v>
      </c>
      <c r="X103" s="51">
        <f t="shared" si="18"/>
        <v>-1.3372719409848743E-2</v>
      </c>
      <c r="Y103" s="51">
        <f t="shared" si="18"/>
        <v>6.8645395888178973E-2</v>
      </c>
      <c r="Z103" s="51">
        <f t="shared" si="18"/>
        <v>7.7981387870476482E-2</v>
      </c>
      <c r="AA103" s="51">
        <f t="shared" si="18"/>
        <v>-5.5305453178752462E-2</v>
      </c>
      <c r="AB103" s="51">
        <f t="shared" si="18"/>
        <v>0.27336777659535616</v>
      </c>
      <c r="AC103" s="34">
        <f t="shared" si="22"/>
        <v>12900.628879986642</v>
      </c>
      <c r="AD103" s="36">
        <f t="shared" si="22"/>
        <v>139611.43804789332</v>
      </c>
      <c r="AE103" s="35">
        <f t="shared" si="22"/>
        <v>156.13345975781533</v>
      </c>
      <c r="AF103" s="35">
        <f t="shared" si="22"/>
        <v>457.55956240132622</v>
      </c>
      <c r="AG103" s="35">
        <f t="shared" si="22"/>
        <v>2107.2945453386956</v>
      </c>
      <c r="AH103" s="35">
        <f t="shared" si="22"/>
        <v>190.13209602926457</v>
      </c>
      <c r="AI103" s="35">
        <f t="shared" si="22"/>
        <v>537.48770454206374</v>
      </c>
      <c r="AJ103" s="51">
        <f>'Data Descriptors 2'!$V103-'Data Descriptors 2'!$X103</f>
        <v>0.14466271152694898</v>
      </c>
      <c r="AK103" s="51">
        <f>'Data Descriptors 2'!$V103-'Data Descriptors 2'!$Y103</f>
        <v>6.2644596228921268E-2</v>
      </c>
    </row>
    <row r="104" spans="1:37">
      <c r="A104" s="32">
        <v>2011</v>
      </c>
      <c r="B104" s="33">
        <f>('[1]S&amp;P 500 &amp; Raw Data'!B87-'[1]S&amp;P 500 &amp; Raw Data'!B86+'[1]S&amp;P 500 &amp; Raw Data'!C87)/'[1]S&amp;P 500 &amp; Raw Data'!B86</f>
        <v>2.09837473362805E-2</v>
      </c>
      <c r="C104" s="33">
        <f>'[1]Small Cap'!B85</f>
        <v>-0.14150000000000001</v>
      </c>
      <c r="D104" s="33">
        <f>'[1]T. Bill rates'!C89</f>
        <v>5.2839999999999994E-4</v>
      </c>
      <c r="E104" s="33">
        <f>'[1]S&amp;P 500 &amp; Raw Data'!F87</f>
        <v>0.16035334999461354</v>
      </c>
      <c r="F104" s="33">
        <f>'[1]S&amp;P 500 &amp; Raw Data'!J87</f>
        <v>0.12262911319384322</v>
      </c>
      <c r="G104" s="33">
        <f>'[1]Home Prices'!B87/'[1]Home Prices'!B86-1</f>
        <v>-3.8854834810063577E-2</v>
      </c>
      <c r="H104" s="33">
        <f>'[1]Gold Prices'!B86/'[1]Gold Prices'!B85-1</f>
        <v>0.1202419067947349</v>
      </c>
      <c r="I104" s="34">
        <f t="shared" si="21"/>
        <v>166871.56296795449</v>
      </c>
      <c r="J104" s="35">
        <f t="shared" si="21"/>
        <v>1518496.9471098932</v>
      </c>
      <c r="K104" s="35">
        <f t="shared" si="21"/>
        <v>1979.1468845973061</v>
      </c>
      <c r="L104" s="35">
        <f t="shared" si="21"/>
        <v>6726.5212652343698</v>
      </c>
      <c r="M104" s="35">
        <f t="shared" si="21"/>
        <v>29971.892533100086</v>
      </c>
      <c r="N104" s="35">
        <f t="shared" si="21"/>
        <v>2315.2454783711137</v>
      </c>
      <c r="O104" s="35">
        <f t="shared" si="21"/>
        <v>7628.3914728682148</v>
      </c>
      <c r="P104" s="67">
        <f t="shared" si="15"/>
        <v>2.0455347336280502E-2</v>
      </c>
      <c r="Q104" s="67">
        <f t="shared" si="16"/>
        <v>-0.13936960265833304</v>
      </c>
      <c r="R104" s="68">
        <f>'Data Descriptors 2'!$C104-'Data Descriptors 2'!$B104</f>
        <v>-0.16248374733628052</v>
      </c>
      <c r="S104" s="68">
        <f t="shared" si="17"/>
        <v>-0.10164536585756272</v>
      </c>
      <c r="T104" s="68">
        <f t="shared" si="9"/>
        <v>4.0970429004248521E-2</v>
      </c>
      <c r="U104" s="69">
        <f>'[1]Inflation Rate'!C109</f>
        <v>2.96242E-2</v>
      </c>
      <c r="V104" s="51">
        <f t="shared" si="18"/>
        <v>-8.3918507973291812E-3</v>
      </c>
      <c r="W104" s="51">
        <f t="shared" si="18"/>
        <v>-0.16620063902926907</v>
      </c>
      <c r="X104" s="51">
        <f t="shared" si="18"/>
        <v>-2.825865981005482E-2</v>
      </c>
      <c r="Y104" s="51">
        <f t="shared" si="18"/>
        <v>0.12696782961648867</v>
      </c>
      <c r="Z104" s="51">
        <f t="shared" si="18"/>
        <v>9.0328989153366068E-2</v>
      </c>
      <c r="AA104" s="51">
        <f t="shared" si="18"/>
        <v>-6.6508765829380811E-2</v>
      </c>
      <c r="AB104" s="51">
        <f t="shared" si="18"/>
        <v>8.8010467114831625E-2</v>
      </c>
      <c r="AC104" s="34">
        <f t="shared" si="22"/>
        <v>12792.368727234078</v>
      </c>
      <c r="AD104" s="36">
        <f t="shared" si="22"/>
        <v>116407.92782853823</v>
      </c>
      <c r="AE104" s="35">
        <f t="shared" si="22"/>
        <v>151.72133743355235</v>
      </c>
      <c r="AF104" s="35">
        <f t="shared" si="22"/>
        <v>515.65490695969288</v>
      </c>
      <c r="AG104" s="35">
        <f t="shared" si="22"/>
        <v>2297.6443314675421</v>
      </c>
      <c r="AH104" s="35">
        <f t="shared" si="22"/>
        <v>177.48664497780487</v>
      </c>
      <c r="AI104" s="35">
        <f t="shared" si="22"/>
        <v>584.79224848728938</v>
      </c>
      <c r="AJ104" s="51">
        <f>'Data Descriptors 2'!$V104-'Data Descriptors 2'!$X104</f>
        <v>1.9866809012725639E-2</v>
      </c>
      <c r="AK104" s="51">
        <f>'Data Descriptors 2'!$V104-'Data Descriptors 2'!$Y104</f>
        <v>-0.13535968041381785</v>
      </c>
    </row>
    <row r="105" spans="1:37">
      <c r="A105" s="32">
        <v>2012</v>
      </c>
      <c r="B105" s="33">
        <f>('[1]S&amp;P 500 &amp; Raw Data'!B88-'[1]S&amp;P 500 &amp; Raw Data'!B87+'[1]S&amp;P 500 &amp; Raw Data'!C88)/'[1]S&amp;P 500 &amp; Raw Data'!B87</f>
        <v>0.15890585241730293</v>
      </c>
      <c r="C105" s="33">
        <f>'[1]Small Cap'!B86</f>
        <v>0.18729999999999999</v>
      </c>
      <c r="D105" s="33">
        <f>'[1]T. Bill rates'!C90</f>
        <v>8.7599999999999993E-4</v>
      </c>
      <c r="E105" s="33">
        <f>'[1]S&amp;P 500 &amp; Raw Data'!F88</f>
        <v>2.971571978018946E-2</v>
      </c>
      <c r="F105" s="33">
        <f>'[1]S&amp;P 500 &amp; Raw Data'!J88</f>
        <v>9.3270633454791169E-2</v>
      </c>
      <c r="G105" s="33">
        <f>'[1]Home Prices'!B88/'[1]Home Prices'!B87-1</f>
        <v>6.4359805270704618E-2</v>
      </c>
      <c r="H105" s="33">
        <f>'[1]Gold Prices'!B87/'[1]Gold Prices'!B86-1</f>
        <v>5.6843442362654706E-2</v>
      </c>
      <c r="I105" s="34">
        <f t="shared" si="21"/>
        <v>193388.43092558492</v>
      </c>
      <c r="J105" s="35">
        <f t="shared" si="21"/>
        <v>1802911.4253035763</v>
      </c>
      <c r="K105" s="35">
        <f t="shared" si="21"/>
        <v>1980.8806172682134</v>
      </c>
      <c r="L105" s="35">
        <f t="shared" si="21"/>
        <v>6926.4046862475598</v>
      </c>
      <c r="M105" s="35">
        <f t="shared" si="21"/>
        <v>32767.389935501258</v>
      </c>
      <c r="N105" s="35">
        <f t="shared" si="21"/>
        <v>2464.2542265129578</v>
      </c>
      <c r="O105" s="35">
        <f t="shared" si="21"/>
        <v>8062.0155038759658</v>
      </c>
      <c r="P105" s="67">
        <f t="shared" si="15"/>
        <v>0.15802985241730294</v>
      </c>
      <c r="Q105" s="67">
        <f t="shared" si="16"/>
        <v>0.12919013263711346</v>
      </c>
      <c r="R105" s="68">
        <f>'Data Descriptors 2'!$C105-'Data Descriptors 2'!$B105</f>
        <v>2.8394147582697066E-2</v>
      </c>
      <c r="S105" s="68">
        <f t="shared" si="17"/>
        <v>6.563521896251176E-2</v>
      </c>
      <c r="T105" s="68">
        <f t="shared" si="9"/>
        <v>4.1988275684727405E-2</v>
      </c>
      <c r="U105" s="69">
        <f>'[1]Inflation Rate'!C110</f>
        <v>1.7410200000000001E-2</v>
      </c>
      <c r="V105" s="51">
        <f t="shared" si="18"/>
        <v>0.13907434033716459</v>
      </c>
      <c r="W105" s="51">
        <f t="shared" si="18"/>
        <v>0.16698259954539485</v>
      </c>
      <c r="X105" s="51">
        <f t="shared" si="18"/>
        <v>-1.625126227356477E-2</v>
      </c>
      <c r="Y105" s="51">
        <f t="shared" si="18"/>
        <v>1.2094944379552386E-2</v>
      </c>
      <c r="Z105" s="51">
        <f t="shared" si="18"/>
        <v>7.4562289089288969E-2</v>
      </c>
      <c r="AA105" s="51">
        <f t="shared" si="18"/>
        <v>4.6146190858617819E-2</v>
      </c>
      <c r="AB105" s="51">
        <f t="shared" si="18"/>
        <v>3.8758449996525224E-2</v>
      </c>
      <c r="AC105" s="34">
        <f t="shared" si="22"/>
        <v>14571.45896932393</v>
      </c>
      <c r="AD105" s="36">
        <f t="shared" si="22"/>
        <v>135846.02622504026</v>
      </c>
      <c r="AE105" s="35">
        <f t="shared" si="22"/>
        <v>149.25567418642368</v>
      </c>
      <c r="AF105" s="35">
        <f t="shared" si="22"/>
        <v>521.89172437841364</v>
      </c>
      <c r="AG105" s="35">
        <f t="shared" si="22"/>
        <v>2468.961952334791</v>
      </c>
      <c r="AH105" s="35">
        <f t="shared" si="22"/>
        <v>185.67697757180639</v>
      </c>
      <c r="AI105" s="35">
        <f t="shared" si="22"/>
        <v>607.45788960863956</v>
      </c>
      <c r="AJ105" s="51">
        <f>'Data Descriptors 2'!$V105-'Data Descriptors 2'!$X105</f>
        <v>0.15532560261072936</v>
      </c>
      <c r="AK105" s="51">
        <f>'Data Descriptors 2'!$V105-'Data Descriptors 2'!$Y105</f>
        <v>0.12697939595761221</v>
      </c>
    </row>
    <row r="106" spans="1:37">
      <c r="A106" s="32">
        <v>2013</v>
      </c>
      <c r="B106" s="33">
        <f>('[1]S&amp;P 500 &amp; Raw Data'!B89-'[1]S&amp;P 500 &amp; Raw Data'!B88+'[1]S&amp;P 500 &amp; Raw Data'!C89)/'[1]S&amp;P 500 &amp; Raw Data'!B88</f>
        <v>0.32145085858125483</v>
      </c>
      <c r="C106" s="33">
        <f>'[1]Small Cap'!B87</f>
        <v>0.50680000000000003</v>
      </c>
      <c r="D106" s="33">
        <f>'[1]T. Bill rates'!C91</f>
        <v>5.708E-4</v>
      </c>
      <c r="E106" s="33">
        <f>'[1]S&amp;P 500 &amp; Raw Data'!F89</f>
        <v>-9.104568794347262E-2</v>
      </c>
      <c r="F106" s="33">
        <f>'[1]S&amp;P 500 &amp; Raw Data'!J89</f>
        <v>-9.8278909816801388E-3</v>
      </c>
      <c r="G106" s="33">
        <f>'[1]Home Prices'!B89/'[1]Home Prices'!B88-1</f>
        <v>0.1071867983678767</v>
      </c>
      <c r="H106" s="33">
        <f>'[1]Gold Prices'!B88/'[1]Gold Prices'!B87-1</f>
        <v>-0.27614182692307687</v>
      </c>
      <c r="I106" s="34">
        <f t="shared" si="21"/>
        <v>255553.30808629587</v>
      </c>
      <c r="J106" s="35">
        <f t="shared" si="21"/>
        <v>2716626.935647429</v>
      </c>
      <c r="K106" s="35">
        <f t="shared" si="21"/>
        <v>1982.01130392455</v>
      </c>
      <c r="L106" s="35">
        <f t="shared" si="21"/>
        <v>6295.7854066132577</v>
      </c>
      <c r="M106" s="35">
        <f t="shared" si="21"/>
        <v>32445.355599460949</v>
      </c>
      <c r="N106" s="35">
        <f t="shared" si="21"/>
        <v>2728.38974741739</v>
      </c>
      <c r="O106" s="35">
        <f t="shared" si="21"/>
        <v>5835.7558139534867</v>
      </c>
      <c r="P106" s="67">
        <f t="shared" si="15"/>
        <v>0.32088005858125485</v>
      </c>
      <c r="Q106" s="67">
        <f t="shared" si="16"/>
        <v>0.41249654652472745</v>
      </c>
      <c r="R106" s="68">
        <f>'Data Descriptors 2'!$C106-'Data Descriptors 2'!$B106</f>
        <v>0.1853491414187452</v>
      </c>
      <c r="S106" s="68">
        <f t="shared" si="17"/>
        <v>0.33127874956293496</v>
      </c>
      <c r="T106" s="68">
        <f t="shared" si="9"/>
        <v>4.6176809418723153E-2</v>
      </c>
      <c r="U106" s="69">
        <f>'[1]Inflation Rate'!C111</f>
        <v>1.50174E-2</v>
      </c>
      <c r="V106" s="51">
        <f t="shared" si="18"/>
        <v>0.30189970987813086</v>
      </c>
      <c r="W106" s="51">
        <f t="shared" si="18"/>
        <v>0.48450657102035888</v>
      </c>
      <c r="X106" s="51">
        <f t="shared" si="18"/>
        <v>-1.4232859456399516E-2</v>
      </c>
      <c r="Y106" s="51">
        <f t="shared" si="18"/>
        <v>-0.10449386182293308</v>
      </c>
      <c r="Z106" s="51">
        <f t="shared" si="18"/>
        <v>-2.4477699576066603E-2</v>
      </c>
      <c r="AA106" s="51">
        <f t="shared" si="18"/>
        <v>9.0805732362693181E-2</v>
      </c>
      <c r="AB106" s="51">
        <f t="shared" si="18"/>
        <v>-0.28685146375133763</v>
      </c>
      <c r="AC106" s="34">
        <f t="shared" si="22"/>
        <v>18970.578204663914</v>
      </c>
      <c r="AD106" s="36">
        <f t="shared" si="22"/>
        <v>201664.31857807626</v>
      </c>
      <c r="AE106" s="35">
        <f t="shared" si="22"/>
        <v>147.13133915265814</v>
      </c>
      <c r="AF106" s="35">
        <f t="shared" si="22"/>
        <v>467.35724264468342</v>
      </c>
      <c r="AG106" s="35">
        <f t="shared" si="22"/>
        <v>2408.5274434008011</v>
      </c>
      <c r="AH106" s="35">
        <f t="shared" si="22"/>
        <v>202.53751150310563</v>
      </c>
      <c r="AI106" s="35">
        <f t="shared" si="22"/>
        <v>433.20770480710286</v>
      </c>
      <c r="AJ106" s="51">
        <f>'Data Descriptors 2'!$V106-'Data Descriptors 2'!$X106</f>
        <v>0.31613256933453038</v>
      </c>
      <c r="AK106" s="51">
        <f>'Data Descriptors 2'!$V106-'Data Descriptors 2'!$Y106</f>
        <v>0.40639357170106394</v>
      </c>
    </row>
    <row r="107" spans="1:37">
      <c r="A107" s="32">
        <v>2014</v>
      </c>
      <c r="B107" s="33">
        <f>('[1]S&amp;P 500 &amp; Raw Data'!B90-'[1]S&amp;P 500 &amp; Raw Data'!B89+'[1]S&amp;P 500 &amp; Raw Data'!C90)/'[1]S&amp;P 500 &amp; Raw Data'!B89</f>
        <v>0.13524421649462237</v>
      </c>
      <c r="C107" s="33">
        <f>'[1]Small Cap'!B88</f>
        <v>1.5900000000000001E-2</v>
      </c>
      <c r="D107" s="33">
        <f>'[1]T. Bill rates'!C92</f>
        <v>3.2719999999999998E-4</v>
      </c>
      <c r="E107" s="33">
        <f>'[1]S&amp;P 500 &amp; Raw Data'!F90</f>
        <v>0.10746180452004755</v>
      </c>
      <c r="F107" s="33">
        <f>'[1]S&amp;P 500 &amp; Raw Data'!J90</f>
        <v>0.10781775226724913</v>
      </c>
      <c r="G107" s="33">
        <f>'[1]Home Prices'!B90/'[1]Home Prices'!B89-1</f>
        <v>4.503361982910703E-2</v>
      </c>
      <c r="H107" s="33">
        <f>'[1]Gold Prices'!B89/'[1]Gold Prices'!B88-1</f>
        <v>1.2453300124533051E-3</v>
      </c>
      <c r="I107" s="34">
        <f t="shared" si="21"/>
        <v>290115.4150110358</v>
      </c>
      <c r="J107" s="35">
        <f t="shared" si="21"/>
        <v>2759821.3039242229</v>
      </c>
      <c r="K107" s="35">
        <f t="shared" si="21"/>
        <v>1982.6598180231942</v>
      </c>
      <c r="L107" s="35">
        <f t="shared" si="21"/>
        <v>6972.3418672788994</v>
      </c>
      <c r="M107" s="35">
        <f t="shared" si="21"/>
        <v>35943.540911706434</v>
      </c>
      <c r="N107" s="35">
        <f t="shared" si="21"/>
        <v>2851.259014048218</v>
      </c>
      <c r="O107" s="35">
        <f t="shared" si="21"/>
        <v>5843.0232558139514</v>
      </c>
      <c r="P107" s="67">
        <f t="shared" si="15"/>
        <v>0.13491701649462237</v>
      </c>
      <c r="Q107" s="67">
        <f t="shared" si="16"/>
        <v>2.7782411974574817E-2</v>
      </c>
      <c r="R107" s="68">
        <f>'Data Descriptors 2'!$C107-'Data Descriptors 2'!$B107</f>
        <v>-0.11934421649462237</v>
      </c>
      <c r="S107" s="68">
        <f t="shared" si="17"/>
        <v>2.7426464227373243E-2</v>
      </c>
      <c r="T107" s="68">
        <f t="shared" si="9"/>
        <v>4.5975029375833421E-2</v>
      </c>
      <c r="U107" s="69">
        <f>'[1]Inflation Rate'!C112</f>
        <v>7.5649000000000003E-3</v>
      </c>
      <c r="V107" s="51">
        <f t="shared" si="18"/>
        <v>0.12672068716826312</v>
      </c>
      <c r="W107" s="51">
        <f t="shared" si="18"/>
        <v>8.2725192193575658E-3</v>
      </c>
      <c r="X107" s="51">
        <f t="shared" si="18"/>
        <v>-7.1833586104477209E-3</v>
      </c>
      <c r="Y107" s="51">
        <f t="shared" si="18"/>
        <v>9.9146868375473929E-2</v>
      </c>
      <c r="Z107" s="51">
        <f t="shared" si="18"/>
        <v>9.9500143630697258E-2</v>
      </c>
      <c r="AA107" s="51">
        <f t="shared" si="18"/>
        <v>3.718740086033856E-2</v>
      </c>
      <c r="AB107" s="51">
        <f t="shared" si="18"/>
        <v>-6.2721220117401E-3</v>
      </c>
      <c r="AC107" s="34">
        <f t="shared" si="22"/>
        <v>21374.542910738201</v>
      </c>
      <c r="AD107" s="36">
        <f t="shared" si="22"/>
        <v>203332.59052937204</v>
      </c>
      <c r="AE107" s="35">
        <f t="shared" si="22"/>
        <v>146.07444198068919</v>
      </c>
      <c r="AF107" s="35">
        <f t="shared" si="22"/>
        <v>513.69424966550025</v>
      </c>
      <c r="AG107" s="35">
        <f t="shared" si="22"/>
        <v>2648.176269957657</v>
      </c>
      <c r="AH107" s="35">
        <f t="shared" si="22"/>
        <v>210.06935513262707</v>
      </c>
      <c r="AI107" s="35">
        <f t="shared" si="22"/>
        <v>430.4905732261268</v>
      </c>
      <c r="AJ107" s="51">
        <f>'Data Descriptors 2'!$V107-'Data Descriptors 2'!$X107</f>
        <v>0.13390404577871085</v>
      </c>
      <c r="AK107" s="51">
        <f>'Data Descriptors 2'!$V107-'Data Descriptors 2'!$Y107</f>
        <v>2.7573818792789195E-2</v>
      </c>
    </row>
    <row r="108" spans="1:37">
      <c r="A108" s="38">
        <v>2015</v>
      </c>
      <c r="B108" s="33">
        <f>('[1]S&amp;P 500 &amp; Raw Data'!B91-'[1]S&amp;P 500 &amp; Raw Data'!B90+'[1]S&amp;P 500 &amp; Raw Data'!C91)/'[1]S&amp;P 500 &amp; Raw Data'!B90</f>
        <v>1.3788916411676138E-2</v>
      </c>
      <c r="C108" s="33">
        <f>'[1]Small Cap'!B89</f>
        <v>-9.2100000000000015E-2</v>
      </c>
      <c r="D108" s="33">
        <f>'[1]T. Bill rates'!C93</f>
        <v>5.2031872509960154E-4</v>
      </c>
      <c r="E108" s="33">
        <f>'[1]S&amp;P 500 &amp; Raw Data'!F91</f>
        <v>1.2842996709792224E-2</v>
      </c>
      <c r="F108" s="33">
        <f>'[1]S&amp;P 500 &amp; Raw Data'!J91</f>
        <v>-1.5008531794429472E-2</v>
      </c>
      <c r="G108" s="33">
        <f>'[1]Home Prices'!B91/'[1]Home Prices'!B90-1</f>
        <v>5.1948286012946543E-2</v>
      </c>
      <c r="H108" s="33">
        <f>'[1]Gold Prices'!B90/'[1]Gold Prices'!B89-1</f>
        <v>-0.12106135986733002</v>
      </c>
      <c r="I108" s="34">
        <f t="shared" si="21"/>
        <v>294115.79221836175</v>
      </c>
      <c r="J108" s="35">
        <f t="shared" si="21"/>
        <v>2505641.7618328016</v>
      </c>
      <c r="K108" s="35">
        <f t="shared" si="21"/>
        <v>1983.6914330520142</v>
      </c>
      <c r="L108" s="35">
        <f t="shared" si="21"/>
        <v>7061.8876309399093</v>
      </c>
      <c r="M108" s="35">
        <f t="shared" si="21"/>
        <v>35404.081135128712</v>
      </c>
      <c r="N108" s="35">
        <f t="shared" si="21"/>
        <v>2999.3770328069868</v>
      </c>
      <c r="O108" s="35">
        <f t="shared" si="21"/>
        <v>5135.6589147286804</v>
      </c>
      <c r="P108" s="67">
        <f t="shared" si="15"/>
        <v>1.3268597686576535E-2</v>
      </c>
      <c r="Q108" s="67">
        <f t="shared" si="16"/>
        <v>9.4591970188391376E-4</v>
      </c>
      <c r="R108" s="68">
        <f>'Data Descriptors 2'!$C108-'Data Descriptors 2'!$B108</f>
        <v>-0.10588891641167615</v>
      </c>
      <c r="S108" s="68">
        <f t="shared" si="17"/>
        <v>2.8797448206105608E-2</v>
      </c>
      <c r="T108" s="68">
        <f t="shared" si="9"/>
        <v>4.5434457313765497E-2</v>
      </c>
      <c r="U108" s="69">
        <f>'[1]Inflation Rate'!C113</f>
        <v>7.2951999999999991E-3</v>
      </c>
      <c r="V108" s="51">
        <f t="shared" si="18"/>
        <v>6.4466865440004906E-3</v>
      </c>
      <c r="W108" s="51">
        <f t="shared" si="18"/>
        <v>-9.8675343633127577E-2</v>
      </c>
      <c r="X108" s="51">
        <f t="shared" si="18"/>
        <v>-6.7258151085207718E-3</v>
      </c>
      <c r="Y108" s="51">
        <f t="shared" si="18"/>
        <v>5.5076175383266257E-3</v>
      </c>
      <c r="Z108" s="51">
        <f t="shared" si="18"/>
        <v>-2.2142200016866398E-2</v>
      </c>
      <c r="AA108" s="51">
        <f t="shared" si="18"/>
        <v>4.4329692043550528E-2</v>
      </c>
      <c r="AB108" s="51">
        <f t="shared" si="18"/>
        <v>-0.12742695474705923</v>
      </c>
      <c r="AC108" s="34">
        <f t="shared" si="22"/>
        <v>21512.337888905018</v>
      </c>
      <c r="AD108" s="36">
        <f t="shared" si="22"/>
        <v>183268.67728707223</v>
      </c>
      <c r="AE108" s="35">
        <f t="shared" si="22"/>
        <v>145.09197229184673</v>
      </c>
      <c r="AF108" s="35">
        <f t="shared" si="22"/>
        <v>516.52348112429547</v>
      </c>
      <c r="AG108" s="35">
        <f t="shared" si="22"/>
        <v>2589.5398213083354</v>
      </c>
      <c r="AH108" s="35">
        <f t="shared" si="22"/>
        <v>219.38166495344367</v>
      </c>
      <c r="AI108" s="35">
        <f t="shared" si="22"/>
        <v>375.63447043260555</v>
      </c>
      <c r="AJ108" s="51">
        <f>'Data Descriptors 2'!$V108-'Data Descriptors 2'!$X108</f>
        <v>1.3172501652521262E-2</v>
      </c>
      <c r="AK108" s="51">
        <f>'Data Descriptors 2'!$V108-'Data Descriptors 2'!$Y108</f>
        <v>9.3906900567386487E-4</v>
      </c>
    </row>
    <row r="109" spans="1:37">
      <c r="A109" s="39">
        <v>2016</v>
      </c>
      <c r="B109" s="33">
        <f>('[1]S&amp;P 500 &amp; Raw Data'!B92-'[1]S&amp;P 500 &amp; Raw Data'!B91+'[1]S&amp;P 500 &amp; Raw Data'!C92)/'[1]S&amp;P 500 &amp; Raw Data'!B91</f>
        <v>0.11773080874798171</v>
      </c>
      <c r="C109" s="33">
        <f>'[1]Small Cap'!B90</f>
        <v>0.17499999999999999</v>
      </c>
      <c r="D109" s="33">
        <f>'[1]T. Bill rates'!C94</f>
        <v>3.1612000000000003E-3</v>
      </c>
      <c r="E109" s="33">
        <f>'[1]S&amp;P 500 &amp; Raw Data'!F92</f>
        <v>6.9055046987477921E-3</v>
      </c>
      <c r="F109" s="33">
        <f>'[1]S&amp;P 500 &amp; Raw Data'!J92</f>
        <v>0.115244739105062</v>
      </c>
      <c r="G109" s="33">
        <f>'[1]Home Prices'!B92/'[1]Home Prices'!B91-1</f>
        <v>5.3055093917225182E-2</v>
      </c>
      <c r="H109" s="33">
        <f>'[1]Gold Prices'!B91/'[1]Gold Prices'!B90-1</f>
        <v>8.1037735849056602E-2</v>
      </c>
      <c r="I109" s="34">
        <f t="shared" si="21"/>
        <v>328742.28230178286</v>
      </c>
      <c r="J109" s="35">
        <f t="shared" si="21"/>
        <v>2944129.0701535419</v>
      </c>
      <c r="K109" s="35">
        <f t="shared" si="21"/>
        <v>1989.9622784101784</v>
      </c>
      <c r="L109" s="35">
        <f t="shared" si="21"/>
        <v>7110.6535291573937</v>
      </c>
      <c r="M109" s="35">
        <f t="shared" si="21"/>
        <v>39484.215228801069</v>
      </c>
      <c r="N109" s="35">
        <f t="shared" si="21"/>
        <v>3158.5092629757296</v>
      </c>
      <c r="O109" s="35">
        <f t="shared" si="21"/>
        <v>5551.8410852713159</v>
      </c>
      <c r="P109" s="67">
        <f t="shared" si="15"/>
        <v>0.11456960874798171</v>
      </c>
      <c r="Q109" s="67">
        <f t="shared" si="16"/>
        <v>0.11082530404923392</v>
      </c>
      <c r="R109" s="68">
        <f>'Data Descriptors 2'!$C109-'Data Descriptors 2'!$B109</f>
        <v>5.7269191252018278E-2</v>
      </c>
      <c r="S109" s="68">
        <f t="shared" si="17"/>
        <v>2.486069642919711E-3</v>
      </c>
      <c r="T109" s="68">
        <f t="shared" si="9"/>
        <v>4.6176501247687796E-2</v>
      </c>
      <c r="U109" s="69">
        <f>'[1]Inflation Rate'!C114</f>
        <v>2.0746199999999999E-2</v>
      </c>
      <c r="V109" s="51">
        <f t="shared" si="18"/>
        <v>9.5013440900374446E-2</v>
      </c>
      <c r="W109" s="51">
        <f t="shared" si="18"/>
        <v>0.1511186620141225</v>
      </c>
      <c r="X109" s="51">
        <f t="shared" si="18"/>
        <v>-1.7227592911930434E-2</v>
      </c>
      <c r="Y109" s="51">
        <f t="shared" si="18"/>
        <v>-1.3559389494912866E-2</v>
      </c>
      <c r="Z109" s="51">
        <f t="shared" si="18"/>
        <v>9.2577899486730342E-2</v>
      </c>
      <c r="AA109" s="51">
        <f t="shared" si="18"/>
        <v>3.1652230414597859E-2</v>
      </c>
      <c r="AB109" s="51">
        <f t="shared" si="18"/>
        <v>5.9066137938163843E-2</v>
      </c>
      <c r="AC109" s="34">
        <f t="shared" si="22"/>
        <v>23556.299133541383</v>
      </c>
      <c r="AD109" s="36">
        <f t="shared" si="22"/>
        <v>210963.99458779258</v>
      </c>
      <c r="AE109" s="35">
        <f t="shared" si="22"/>
        <v>142.5923868584137</v>
      </c>
      <c r="AF109" s="35">
        <f t="shared" si="22"/>
        <v>509.51973806046288</v>
      </c>
      <c r="AG109" s="35">
        <f t="shared" si="22"/>
        <v>2829.2739786023039</v>
      </c>
      <c r="AH109" s="35">
        <f t="shared" si="22"/>
        <v>226.32558396128817</v>
      </c>
      <c r="AI109" s="35">
        <f t="shared" si="22"/>
        <v>397.82174787750694</v>
      </c>
      <c r="AJ109" s="51">
        <f>'Data Descriptors 2'!$V109-'Data Descriptors 2'!$X109</f>
        <v>0.11224103381230488</v>
      </c>
      <c r="AK109" s="51">
        <f>'Data Descriptors 2'!$V109-'Data Descriptors 2'!$Y109</f>
        <v>0.10857283039528731</v>
      </c>
    </row>
    <row r="110" spans="1:37">
      <c r="A110" s="39">
        <v>2017</v>
      </c>
      <c r="B110" s="33">
        <f>('[1]S&amp;P 500 &amp; Raw Data'!B93-'[1]S&amp;P 500 &amp; Raw Data'!B92+'[1]S&amp;P 500 &amp; Raw Data'!C93)/'[1]S&amp;P 500 &amp; Raw Data'!B92</f>
        <v>0.2160548143449928</v>
      </c>
      <c r="C110" s="33">
        <f>'[1]Small Cap'!B91</f>
        <v>0.1547</v>
      </c>
      <c r="D110" s="33">
        <f>'[1]T. Bill rates'!C95</f>
        <v>9.3411999999999992E-3</v>
      </c>
      <c r="E110" s="33">
        <f>'[1]S&amp;P 500 &amp; Raw Data'!F93</f>
        <v>2.8017162707789457E-2</v>
      </c>
      <c r="F110" s="33">
        <f>'[1]S&amp;P 500 &amp; Raw Data'!J93</f>
        <v>9.2339050572547543E-2</v>
      </c>
      <c r="G110" s="33">
        <f>'[1]Home Prices'!B93/'[1]Home Prices'!B92-1</f>
        <v>6.2069189927930646E-2</v>
      </c>
      <c r="H110" s="33">
        <f>'[1]Gold Prices'!B92/'[1]Gold Prices'!B91-1</f>
        <v>0.12662535997905566</v>
      </c>
      <c r="I110" s="34">
        <f t="shared" si="21"/>
        <v>399768.63507184375</v>
      </c>
      <c r="J110" s="35">
        <f t="shared" si="21"/>
        <v>3399585.8373062951</v>
      </c>
      <c r="K110" s="35">
        <f t="shared" si="21"/>
        <v>2008.5509140452634</v>
      </c>
      <c r="L110" s="35">
        <f t="shared" si="21"/>
        <v>7309.8738660425133</v>
      </c>
      <c r="M110" s="35">
        <f t="shared" si="21"/>
        <v>43130.150175630675</v>
      </c>
      <c r="N110" s="35">
        <f t="shared" si="21"/>
        <v>3354.5553743084984</v>
      </c>
      <c r="O110" s="35">
        <f t="shared" si="21"/>
        <v>6254.8449612403074</v>
      </c>
      <c r="P110" s="67">
        <f t="shared" si="15"/>
        <v>0.2067136143449928</v>
      </c>
      <c r="Q110" s="67">
        <f t="shared" si="16"/>
        <v>0.18803765163720335</v>
      </c>
      <c r="R110" s="68">
        <f>'Data Descriptors 2'!$C110-'Data Descriptors 2'!$B110</f>
        <v>-6.1354814344992792E-2</v>
      </c>
      <c r="S110" s="68">
        <f t="shared" si="17"/>
        <v>0.12371576377244525</v>
      </c>
      <c r="T110" s="68">
        <f t="shared" si="9"/>
        <v>4.7686840373502015E-2</v>
      </c>
      <c r="U110" s="69">
        <f>'[1]Inflation Rate'!C115</f>
        <v>2.10908E-2</v>
      </c>
      <c r="V110" s="51">
        <f t="shared" si="18"/>
        <v>0.19093700025991089</v>
      </c>
      <c r="W110" s="51">
        <f t="shared" si="18"/>
        <v>0.1308494797916111</v>
      </c>
      <c r="X110" s="51">
        <f t="shared" si="18"/>
        <v>-1.1506910061279685E-2</v>
      </c>
      <c r="Y110" s="51">
        <f t="shared" si="18"/>
        <v>6.7832975361146186E-3</v>
      </c>
      <c r="Z110" s="51">
        <f t="shared" si="18"/>
        <v>6.97766061280225E-2</v>
      </c>
      <c r="AA110" s="51">
        <f t="shared" si="18"/>
        <v>4.0131974480556165E-2</v>
      </c>
      <c r="AB110" s="51">
        <f t="shared" si="18"/>
        <v>0.10335472612137497</v>
      </c>
      <c r="AC110" s="34">
        <f t="shared" si="22"/>
        <v>28054.068227324911</v>
      </c>
      <c r="AD110" s="36">
        <f t="shared" si="22"/>
        <v>238568.52353436549</v>
      </c>
      <c r="AE110" s="35">
        <f t="shared" si="22"/>
        <v>140.95158908741072</v>
      </c>
      <c r="AF110" s="35">
        <f t="shared" si="22"/>
        <v>512.9759620442502</v>
      </c>
      <c r="AG110" s="35">
        <f t="shared" si="22"/>
        <v>3026.6911146355001</v>
      </c>
      <c r="AH110" s="35">
        <f t="shared" si="22"/>
        <v>235.40847652111955</v>
      </c>
      <c r="AI110" s="35">
        <f t="shared" si="22"/>
        <v>438.93850567451335</v>
      </c>
      <c r="AJ110" s="51">
        <f>'Data Descriptors 2'!$V110-'Data Descriptors 2'!$X110</f>
        <v>0.20244391032119058</v>
      </c>
      <c r="AK110" s="51">
        <f>'Data Descriptors 2'!$V110-'Data Descriptors 2'!$Y110</f>
        <v>0.18415370272379628</v>
      </c>
    </row>
    <row r="111" spans="1:37">
      <c r="A111" s="39">
        <v>2018</v>
      </c>
      <c r="B111" s="33">
        <f>('[1]S&amp;P 500 &amp; Raw Data'!B94-'[1]S&amp;P 500 &amp; Raw Data'!B93+'[1]S&amp;P 500 &amp; Raw Data'!C94)/'[1]S&amp;P 500 &amp; Raw Data'!B93</f>
        <v>-4.2268692890885438E-2</v>
      </c>
      <c r="C111" s="33">
        <f>'[1]Small Cap'!B92</f>
        <v>-0.16260000000000002</v>
      </c>
      <c r="D111" s="33">
        <f>'[1]T. Bill rates'!C96</f>
        <v>1.936305220883534E-2</v>
      </c>
      <c r="E111" s="33">
        <f>'[1]S&amp;P 500 &amp; Raw Data'!F94</f>
        <v>-1.6692385713402633E-4</v>
      </c>
      <c r="F111" s="33">
        <f>'[1]S&amp;P 500 &amp; Raw Data'!J94</f>
        <v>-3.2694196838362347E-2</v>
      </c>
      <c r="G111" s="33">
        <f>'[1]Home Prices'!B94/'[1]Home Prices'!B93-1</f>
        <v>4.517555505626647E-2</v>
      </c>
      <c r="H111" s="33">
        <f>'[1]Gold Prices'!B93/'[1]Gold Prices'!B92-1</f>
        <v>-9.2951200619674212E-3</v>
      </c>
      <c r="I111" s="34">
        <f t="shared" si="21"/>
        <v>382870.93740858353</v>
      </c>
      <c r="J111" s="35">
        <f t="shared" si="21"/>
        <v>2846813.180160291</v>
      </c>
      <c r="K111" s="35">
        <f t="shared" si="21"/>
        <v>2047.4425902580256</v>
      </c>
      <c r="L111" s="35">
        <f t="shared" si="21"/>
        <v>7308.6536737016304</v>
      </c>
      <c r="M111" s="35">
        <f t="shared" si="21"/>
        <v>41720.044556120476</v>
      </c>
      <c r="N111" s="35">
        <f t="shared" si="21"/>
        <v>3506.0992753098667</v>
      </c>
      <c r="O111" s="35">
        <f t="shared" si="21"/>
        <v>6196.7054263565869</v>
      </c>
      <c r="P111" s="67">
        <f t="shared" si="15"/>
        <v>-6.1631745099720775E-2</v>
      </c>
      <c r="Q111" s="67">
        <f t="shared" si="16"/>
        <v>-4.2101769033751416E-2</v>
      </c>
      <c r="R111" s="68">
        <f>'Data Descriptors 2'!$C111-'Data Descriptors 2'!$B111</f>
        <v>-0.12033130710911458</v>
      </c>
      <c r="S111" s="68">
        <f t="shared" si="17"/>
        <v>-9.5744960525230918E-3</v>
      </c>
      <c r="T111" s="68">
        <f t="shared" si="9"/>
        <v>4.6608669094632571E-2</v>
      </c>
      <c r="U111" s="69">
        <f>'[1]Inflation Rate'!C116</f>
        <v>1.91016E-2</v>
      </c>
      <c r="V111" s="51">
        <f t="shared" si="18"/>
        <v>-6.0219994641246166E-2</v>
      </c>
      <c r="W111" s="51">
        <f t="shared" si="18"/>
        <v>-0.17829586372938677</v>
      </c>
      <c r="X111" s="51">
        <f t="shared" si="18"/>
        <v>2.5655166161575593E-4</v>
      </c>
      <c r="Y111" s="51">
        <f t="shared" si="18"/>
        <v>-1.8907362972577002E-2</v>
      </c>
      <c r="Z111" s="51">
        <f t="shared" si="18"/>
        <v>-5.0824958805247955E-2</v>
      </c>
      <c r="AA111" s="51">
        <f t="shared" si="18"/>
        <v>2.5585236110184262E-2</v>
      </c>
      <c r="AB111" s="51">
        <f t="shared" si="18"/>
        <v>-2.7864464212368434E-2</v>
      </c>
      <c r="AC111" s="34">
        <f t="shared" si="22"/>
        <v>26364.652389010251</v>
      </c>
      <c r="AD111" s="36">
        <f t="shared" si="22"/>
        <v>196032.74257216125</v>
      </c>
      <c r="AE111" s="35">
        <f t="shared" si="22"/>
        <v>140.98775045179849</v>
      </c>
      <c r="AF111" s="35">
        <f t="shared" si="22"/>
        <v>503.27693933367266</v>
      </c>
      <c r="AG111" s="35">
        <f t="shared" si="22"/>
        <v>2872.8596634179407</v>
      </c>
      <c r="AH111" s="35">
        <f t="shared" si="22"/>
        <v>241.43145797525116</v>
      </c>
      <c r="AI111" s="35">
        <f t="shared" si="22"/>
        <v>426.70771939171539</v>
      </c>
      <c r="AJ111" s="51">
        <f>'Data Descriptors 2'!$V111-'Data Descriptors 2'!$X111</f>
        <v>-6.0476546302861922E-2</v>
      </c>
      <c r="AK111" s="51">
        <f>'Data Descriptors 2'!$V111-'Data Descriptors 2'!$Y111</f>
        <v>-4.1312631668669164E-2</v>
      </c>
    </row>
    <row r="112" spans="1:37">
      <c r="A112" s="32">
        <v>2019</v>
      </c>
      <c r="B112" s="33">
        <f>('[1]S&amp;P 500 &amp; Raw Data'!B95-'[1]S&amp;P 500 &amp; Raw Data'!B94+'[1]S&amp;P 500 &amp; Raw Data'!C95)/'[1]S&amp;P 500 &amp; Raw Data'!B94</f>
        <v>0.31211679996808755</v>
      </c>
      <c r="C112" s="33">
        <f>'[1]Small Cap'!B93</f>
        <v>0.12269999999999999</v>
      </c>
      <c r="D112" s="33">
        <f>'[1]T. Bill rates'!C97</f>
        <v>2.0624799999999999E-2</v>
      </c>
      <c r="E112" s="33">
        <f>'[1]S&amp;P 500 &amp; Raw Data'!F95</f>
        <v>9.6356307415483927E-2</v>
      </c>
      <c r="F112" s="33">
        <f>'[1]S&amp;P 500 &amp; Raw Data'!J95</f>
        <v>0.15247765775278477</v>
      </c>
      <c r="G112" s="33">
        <f>'[1]Home Prices'!B95/'[1]Home Prices'!B94-1</f>
        <v>3.6852107893669883E-2</v>
      </c>
      <c r="H112" s="33">
        <f>'[1]Gold Prices'!B94/'[1]Gold Prices'!B93-1</f>
        <v>0.19077404222048466</v>
      </c>
      <c r="I112" s="34">
        <f t="shared" si="21"/>
        <v>502371.38919333258</v>
      </c>
      <c r="J112" s="35">
        <f t="shared" si="21"/>
        <v>3196117.1573659587</v>
      </c>
      <c r="K112" s="35">
        <f t="shared" si="21"/>
        <v>2089.6706841935793</v>
      </c>
      <c r="L112" s="35">
        <f t="shared" si="21"/>
        <v>8012.8885538781296</v>
      </c>
      <c r="M112" s="35">
        <f t="shared" si="21"/>
        <v>48081.41923137955</v>
      </c>
      <c r="N112" s="35">
        <f t="shared" si="21"/>
        <v>3635.3064240895037</v>
      </c>
      <c r="O112" s="35">
        <f t="shared" si="21"/>
        <v>7378.8759689922445</v>
      </c>
      <c r="P112" s="67">
        <f t="shared" si="15"/>
        <v>0.29149199996808756</v>
      </c>
      <c r="Q112" s="67">
        <f t="shared" si="16"/>
        <v>0.21576049255260363</v>
      </c>
      <c r="R112" s="68">
        <f>'Data Descriptors 2'!$C112-'Data Descriptors 2'!$B112</f>
        <v>-0.18941679996808758</v>
      </c>
      <c r="S112" s="68">
        <f t="shared" si="17"/>
        <v>0.15963914221530279</v>
      </c>
      <c r="T112" s="68">
        <f t="shared" si="9"/>
        <v>4.8253684406804442E-2</v>
      </c>
      <c r="U112" s="69">
        <f>'[1]Inflation Rate'!C117</f>
        <v>2.2851300000000001E-2</v>
      </c>
      <c r="V112" s="51">
        <f t="shared" si="18"/>
        <v>0.28280308190260661</v>
      </c>
      <c r="W112" s="51">
        <f t="shared" si="18"/>
        <v>9.7618001756462736E-2</v>
      </c>
      <c r="X112" s="51">
        <f t="shared" si="18"/>
        <v>-2.1767582443312783E-3</v>
      </c>
      <c r="Y112" s="51">
        <f t="shared" si="18"/>
        <v>7.1862847918836348E-2</v>
      </c>
      <c r="Z112" s="51">
        <f t="shared" si="18"/>
        <v>0.1267304032881269</v>
      </c>
      <c r="AA112" s="51">
        <f t="shared" si="18"/>
        <v>1.368801886810922E-2</v>
      </c>
      <c r="AB112" s="51">
        <f t="shared" si="18"/>
        <v>0.16417121650085864</v>
      </c>
      <c r="AC112" s="34">
        <f t="shared" si="22"/>
        <v>33820.657337913268</v>
      </c>
      <c r="AD112" s="36">
        <f t="shared" si="22"/>
        <v>215169.06718089469</v>
      </c>
      <c r="AE112" s="35">
        <f t="shared" si="22"/>
        <v>140.68085420365281</v>
      </c>
      <c r="AF112" s="35">
        <f t="shared" si="22"/>
        <v>539.44385348606579</v>
      </c>
      <c r="AG112" s="35">
        <f t="shared" si="22"/>
        <v>3236.9383271530887</v>
      </c>
      <c r="AH112" s="35">
        <f t="shared" si="22"/>
        <v>244.73617632737151</v>
      </c>
      <c r="AI112" s="35">
        <f t="shared" si="22"/>
        <v>496.76084477456033</v>
      </c>
      <c r="AJ112" s="51">
        <f>'Data Descriptors 2'!$V112-'Data Descriptors 2'!$X112</f>
        <v>0.28497984014693789</v>
      </c>
      <c r="AK112" s="51">
        <f>'Data Descriptors 2'!$V112-'Data Descriptors 2'!$Y112</f>
        <v>0.21094023398377026</v>
      </c>
    </row>
    <row r="113" spans="1:37">
      <c r="A113" s="39">
        <v>2020</v>
      </c>
      <c r="B113" s="33">
        <f>('[1]S&amp;P 500 &amp; Raw Data'!B96-'[1]S&amp;P 500 &amp; Raw Data'!B95+'[1]S&amp;P 500 &amp; Raw Data'!C96)/'[1]S&amp;P 500 &amp; Raw Data'!B95</f>
        <v>0.18023201827422478</v>
      </c>
      <c r="C113" s="33">
        <f>'[1]Small Cap'!B94</f>
        <v>0.34729999999999994</v>
      </c>
      <c r="D113" s="33">
        <f>'[1]T. Bill rates'!C98</f>
        <v>3.547410358565737E-3</v>
      </c>
      <c r="E113" s="33">
        <f>'[1]S&amp;P 500 &amp; Raw Data'!F96</f>
        <v>0.1133189764661412</v>
      </c>
      <c r="F113" s="33">
        <f>'[1]S&amp;P 500 &amp; Raw Data'!J96</f>
        <v>0.10601187472880466</v>
      </c>
      <c r="G113" s="33">
        <f>'[1]Home Prices'!B96/'[1]Home Prices'!B95-1</f>
        <v>0.10426620677957033</v>
      </c>
      <c r="H113" s="33">
        <f>'[1]Gold Prices'!B95/'[1]Gold Prices'!B94-1</f>
        <v>0.24169402495075509</v>
      </c>
      <c r="I113" s="34">
        <f t="shared" si="21"/>
        <v>592914.79859087302</v>
      </c>
      <c r="J113" s="35">
        <f t="shared" si="21"/>
        <v>4306128.6461191559</v>
      </c>
      <c r="K113" s="35">
        <f t="shared" si="21"/>
        <v>2097.0836036246787</v>
      </c>
      <c r="L113" s="35">
        <f t="shared" si="21"/>
        <v>8920.9008833408589</v>
      </c>
      <c r="M113" s="35">
        <f t="shared" si="21"/>
        <v>53178.620623719697</v>
      </c>
      <c r="N113" s="35">
        <f t="shared" si="21"/>
        <v>4014.3460354107201</v>
      </c>
      <c r="O113" s="35">
        <f t="shared" si="21"/>
        <v>9162.3062015503838</v>
      </c>
      <c r="P113" s="67">
        <f t="shared" si="15"/>
        <v>0.17668460791565904</v>
      </c>
      <c r="Q113" s="67">
        <f t="shared" si="16"/>
        <v>6.6913041808083579E-2</v>
      </c>
      <c r="R113" s="71">
        <f>'Data Descriptors 2'!$C113-'Data Descriptors 2'!$B113</f>
        <v>0.16706798172577517</v>
      </c>
      <c r="S113" s="71">
        <f t="shared" si="17"/>
        <v>7.4220143545420114E-2</v>
      </c>
      <c r="T113" s="68">
        <f t="shared" si="9"/>
        <v>4.8442663414424603E-2</v>
      </c>
      <c r="U113" s="69">
        <f>'[1]Inflation Rate'!C118</f>
        <v>1.36201E-2</v>
      </c>
      <c r="V113" s="53">
        <f t="shared" si="18"/>
        <v>0.16437313967454337</v>
      </c>
      <c r="W113" s="53">
        <f t="shared" si="18"/>
        <v>0.3291962146370222</v>
      </c>
      <c r="X113" s="53">
        <f t="shared" si="18"/>
        <v>-9.93734204899277E-3</v>
      </c>
      <c r="Y113" s="53">
        <f t="shared" si="18"/>
        <v>9.835921413371862E-2</v>
      </c>
      <c r="Z113" s="53">
        <f t="shared" si="18"/>
        <v>9.1150298547556963E-2</v>
      </c>
      <c r="AA113" s="53">
        <f t="shared" si="18"/>
        <v>8.9428087287900304E-2</v>
      </c>
      <c r="AB113" s="51">
        <f t="shared" si="18"/>
        <v>0.22500927610921995</v>
      </c>
      <c r="AC113" s="34">
        <f t="shared" si="22"/>
        <v>39379.864970402952</v>
      </c>
      <c r="AD113" s="36">
        <f t="shared" si="22"/>
        <v>286001.90960382437</v>
      </c>
      <c r="AE113" s="35">
        <f t="shared" si="22"/>
        <v>139.28286043568664</v>
      </c>
      <c r="AF113" s="35">
        <f t="shared" si="22"/>
        <v>592.5031269842201</v>
      </c>
      <c r="AG113" s="35">
        <f t="shared" si="22"/>
        <v>3531.9862220531222</v>
      </c>
      <c r="AH113" s="35">
        <f t="shared" si="22"/>
        <v>266.62246446648265</v>
      </c>
      <c r="AI113" s="35">
        <f t="shared" si="22"/>
        <v>608.53664285668867</v>
      </c>
      <c r="AJ113" s="51">
        <f>'Data Descriptors 2'!$V113-'Data Descriptors 2'!$X113</f>
        <v>0.17431048172353614</v>
      </c>
      <c r="AK113" s="51">
        <f>'Data Descriptors 2'!$V113-'Data Descriptors 2'!$Y113</f>
        <v>6.6013925540824747E-2</v>
      </c>
    </row>
    <row r="114" spans="1:37">
      <c r="A114" s="39">
        <v>2021</v>
      </c>
      <c r="B114" s="33">
        <f>('[1]S&amp;P 500 &amp; Raw Data'!B97-'[1]S&amp;P 500 &amp; Raw Data'!B96+'[1]S&amp;P 500 &amp; Raw Data'!C97)/'[1]S&amp;P 500 &amp; Raw Data'!B96</f>
        <v>0.28468851751964158</v>
      </c>
      <c r="C114" s="33">
        <f>'[1]Small Cap'!B95</f>
        <v>0.21690000000000001</v>
      </c>
      <c r="D114" s="33">
        <f>'[1]T. Bill rates'!C99</f>
        <v>4.5019920318725102E-4</v>
      </c>
      <c r="E114" s="33">
        <f>'[1]S&amp;P 500 &amp; Raw Data'!F97</f>
        <v>-4.416034448604475E-2</v>
      </c>
      <c r="F114" s="33">
        <f>'[1]S&amp;P 500 &amp; Raw Data'!J97</f>
        <v>9.3344457198752777E-3</v>
      </c>
      <c r="G114" s="33">
        <f>'[1]Home Prices'!B97/'[1]Home Prices'!B96-1</f>
        <v>0.1886462360360821</v>
      </c>
      <c r="H114" s="33">
        <f>'[1]Gold Prices'!B96/'[1]Gold Prices'!B95-1</f>
        <v>-3.7544286394162185E-2</v>
      </c>
      <c r="I114" s="34">
        <f t="shared" si="21"/>
        <v>761710.83361716557</v>
      </c>
      <c r="J114" s="35">
        <f t="shared" si="21"/>
        <v>5240127.9494624017</v>
      </c>
      <c r="K114" s="35">
        <f t="shared" si="21"/>
        <v>2098.0277089920478</v>
      </c>
      <c r="L114" s="35">
        <f t="shared" si="21"/>
        <v>8526.9508272066651</v>
      </c>
      <c r="M114" s="35">
        <f t="shared" si="21"/>
        <v>53675.013571389645</v>
      </c>
      <c r="N114" s="35">
        <f t="shared" si="21"/>
        <v>4771.6373051373212</v>
      </c>
      <c r="O114" s="35">
        <f t="shared" si="21"/>
        <v>8818.3139534883685</v>
      </c>
      <c r="P114" s="67">
        <f t="shared" si="15"/>
        <v>0.28423831831645435</v>
      </c>
      <c r="Q114" s="67">
        <f t="shared" si="16"/>
        <v>0.3288488620056863</v>
      </c>
      <c r="R114" s="71">
        <f>'Data Descriptors 2'!$C114-'Data Descriptors 2'!$B114</f>
        <v>-6.7788517519641572E-2</v>
      </c>
      <c r="S114" s="71">
        <f t="shared" si="17"/>
        <v>0.27535407179976629</v>
      </c>
      <c r="T114" s="68">
        <f t="shared" si="9"/>
        <v>5.1322006296357525E-2</v>
      </c>
      <c r="U114" s="69">
        <f>'[1]Inflation Rate'!C119</f>
        <v>7.036400000000001E-2</v>
      </c>
      <c r="V114" s="53">
        <f t="shared" si="18"/>
        <v>0.20023517001659386</v>
      </c>
      <c r="W114" s="53">
        <f t="shared" si="18"/>
        <v>0.13690296011450309</v>
      </c>
      <c r="X114" s="53">
        <f t="shared" si="18"/>
        <v>-6.5317780490387167E-2</v>
      </c>
      <c r="Y114" s="53">
        <f t="shared" si="18"/>
        <v>-0.10699569911361451</v>
      </c>
      <c r="Z114" s="53">
        <f t="shared" si="18"/>
        <v>-5.7017569985654326E-2</v>
      </c>
      <c r="AA114" s="53">
        <f>(1+G114)/(1+$U114)-1</f>
        <v>0.11050655294468248</v>
      </c>
      <c r="AB114" s="51">
        <f t="shared" si="18"/>
        <v>-0.10081456999129479</v>
      </c>
      <c r="AC114" s="34">
        <f t="shared" si="22"/>
        <v>47265.098927982093</v>
      </c>
      <c r="AD114" s="36">
        <f t="shared" si="22"/>
        <v>325156.41762698843</v>
      </c>
      <c r="AE114" s="35">
        <f t="shared" si="22"/>
        <v>130.18521313167523</v>
      </c>
      <c r="AF114" s="35">
        <f t="shared" si="22"/>
        <v>529.10784068554074</v>
      </c>
      <c r="AG114" s="35">
        <f t="shared" si="22"/>
        <v>3330.6009504488416</v>
      </c>
      <c r="AH114" s="35">
        <f t="shared" si="22"/>
        <v>296.08599395228975</v>
      </c>
      <c r="AI114" s="35">
        <f t="shared" si="22"/>
        <v>547.18728288314549</v>
      </c>
      <c r="AJ114" s="51">
        <f>'Data Descriptors 2'!$V114-'Data Descriptors 2'!$X114</f>
        <v>0.26555295050698102</v>
      </c>
      <c r="AK114" s="51">
        <f>'Data Descriptors 2'!$V114-'Data Descriptors 2'!$Y114</f>
        <v>0.30723086913020836</v>
      </c>
    </row>
    <row r="115" spans="1:37">
      <c r="A115" s="39">
        <v>2022</v>
      </c>
      <c r="B115" s="33">
        <f>('[1]S&amp;P 500 &amp; Raw Data'!B98-'[1]S&amp;P 500 &amp; Raw Data'!B97+'[1]S&amp;P 500 &amp; Raw Data'!C98)/'[1]S&amp;P 500 &amp; Raw Data'!B97</f>
        <v>-0.18037505927178585</v>
      </c>
      <c r="C115" s="33">
        <f>'[1]Small Cap'!B96</f>
        <v>-0.23379999999999998</v>
      </c>
      <c r="D115" s="33">
        <f>'[1]T. Bill rates'!C100</f>
        <v>2.0247791164658632E-2</v>
      </c>
      <c r="E115" s="33">
        <f>'[1]S&amp;P 500 &amp; Raw Data'!F98</f>
        <v>-0.1782817153825067</v>
      </c>
      <c r="F115" s="33">
        <f>'[1]S&amp;P 500 &amp; Raw Data'!J98</f>
        <v>-0.15144078553554258</v>
      </c>
      <c r="G115" s="33">
        <f>'[1]Home Prices'!B98/'[1]Home Prices'!B97-1</f>
        <v>5.6518430235059203E-2</v>
      </c>
      <c r="H115" s="33">
        <f>'[1]Gold Prices'!B97/'[1]Gold Prices'!B96-1</f>
        <v>5.494203615185933E-3</v>
      </c>
      <c r="I115" s="34">
        <f>I114*(1+B115)</f>
        <v>624317.19685550791</v>
      </c>
      <c r="J115" s="35">
        <f t="shared" si="21"/>
        <v>4014986.0348780924</v>
      </c>
      <c r="K115" s="35">
        <f t="shared" si="21"/>
        <v>2140.5081359013857</v>
      </c>
      <c r="L115" s="35">
        <f t="shared" si="21"/>
        <v>7006.751406749976</v>
      </c>
      <c r="M115" s="35">
        <f t="shared" si="21"/>
        <v>45546.427352507482</v>
      </c>
      <c r="N115" s="40">
        <f t="shared" si="21"/>
        <v>5041.3227552747303</v>
      </c>
      <c r="O115" s="35">
        <f t="shared" si="21"/>
        <v>8866.7635658914696</v>
      </c>
      <c r="P115" s="67">
        <f>B115-D115</f>
        <v>-0.20062285043644448</v>
      </c>
      <c r="Q115" s="67">
        <f>B115-E115</f>
        <v>-2.0933438892791478E-3</v>
      </c>
      <c r="R115" s="71">
        <f>'Data Descriptors 2'!$C115-'Data Descriptors 2'!$B115</f>
        <v>-5.3424940728214132E-2</v>
      </c>
      <c r="S115" s="71">
        <f t="shared" si="17"/>
        <v>-2.8934273736243271E-2</v>
      </c>
      <c r="T115" s="68">
        <f>((I115/100)^(1/(A115-$A$21+1)))-((L115/100)^(1/(A115-$A$21+1)))</f>
        <v>5.0609420169760888E-2</v>
      </c>
      <c r="U115" s="69">
        <f>'[1]Inflation Rate'!C120</f>
        <v>6.454399999999999E-2</v>
      </c>
      <c r="V115" s="53">
        <f t="shared" si="18"/>
        <v>-0.23006945628530695</v>
      </c>
      <c r="W115" s="53">
        <f t="shared" si="18"/>
        <v>-0.28025520786364866</v>
      </c>
      <c r="X115" s="53">
        <f t="shared" si="18"/>
        <v>-4.1610500679484685E-2</v>
      </c>
      <c r="Y115" s="53">
        <f t="shared" si="18"/>
        <v>-0.22810303320718228</v>
      </c>
      <c r="Z115" s="53">
        <f t="shared" si="18"/>
        <v>-0.20288948651774152</v>
      </c>
      <c r="AA115" s="53">
        <f>(1+G115)/(1+$U115)-1</f>
        <v>-7.5389742133163962E-3</v>
      </c>
      <c r="AB115" s="53">
        <f t="shared" si="18"/>
        <v>-5.5469568552181991E-2</v>
      </c>
      <c r="AC115" s="34">
        <f t="shared" si="22"/>
        <v>36390.843316350009</v>
      </c>
      <c r="AD115" s="36">
        <f t="shared" si="22"/>
        <v>234029.63821673742</v>
      </c>
      <c r="AE115" s="35">
        <f t="shared" si="22"/>
        <v>124.76814123220079</v>
      </c>
      <c r="AF115" s="35">
        <f t="shared" si="22"/>
        <v>408.41673733146632</v>
      </c>
      <c r="AG115" s="35">
        <f t="shared" si="22"/>
        <v>2654.8570338167742</v>
      </c>
      <c r="AH115" s="40">
        <f t="shared" si="22"/>
        <v>293.85380927895926</v>
      </c>
      <c r="AI115" s="35">
        <f t="shared" si="22"/>
        <v>516.83504038437661</v>
      </c>
      <c r="AJ115" s="51">
        <f>'Data Descriptors 2'!$V115-'Data Descriptors 2'!$X115</f>
        <v>-0.18845895560582226</v>
      </c>
      <c r="AK115" s="51">
        <f>'Data Descriptors 2'!$V115-'Data Descriptors 2'!$Y115</f>
        <v>-1.9664230781246683E-3</v>
      </c>
    </row>
    <row r="116" spans="1:37">
      <c r="A116" s="39">
        <v>2023</v>
      </c>
      <c r="B116" s="33">
        <f>('[1]S&amp;P 500 &amp; Raw Data'!B99-'[1]S&amp;P 500 &amp; Raw Data'!B98+'[1]S&amp;P 500 &amp; Raw Data'!C99)/'[1]S&amp;P 500 &amp; Raw Data'!B98</f>
        <v>0.26060684985024096</v>
      </c>
      <c r="C116" s="33">
        <f>'[1]Small Cap'!B97</f>
        <v>5.1699999999999996E-2</v>
      </c>
      <c r="D116" s="33">
        <f>'[1]T. Bill rates'!C101</f>
        <v>5.0703614457831322E-2</v>
      </c>
      <c r="E116" s="33">
        <f>'[1]S&amp;P 500 &amp; Raw Data'!F99</f>
        <v>3.8800000000000001E-2</v>
      </c>
      <c r="F116" s="33">
        <f>'[1]S&amp;P 500 &amp; Raw Data'!J99</f>
        <v>8.7356722013658433E-2</v>
      </c>
      <c r="G116" s="33">
        <f>'[1]Home Prices'!B99/'[1]Home Prices'!B98-1</f>
        <v>5.678404936325232E-2</v>
      </c>
      <c r="H116" s="33">
        <f>'[1]Gold Prices'!B98/'[1]Gold Prices'!B97-1</f>
        <v>0.13262116824217252</v>
      </c>
      <c r="I116" s="34">
        <f>I115*(1+B116)</f>
        <v>787018.53483535454</v>
      </c>
      <c r="J116" s="35">
        <f t="shared" si="21"/>
        <v>4222560.81288129</v>
      </c>
      <c r="K116" s="35">
        <f t="shared" si="21"/>
        <v>2249.0396351679806</v>
      </c>
      <c r="L116" s="35">
        <f t="shared" si="21"/>
        <v>7278.6133613318743</v>
      </c>
      <c r="M116" s="35">
        <f t="shared" si="21"/>
        <v>49525.213945455769</v>
      </c>
      <c r="N116" s="40">
        <f t="shared" si="21"/>
        <v>5327.5894754663377</v>
      </c>
      <c r="O116" s="40">
        <f t="shared" si="21"/>
        <v>10042.684108527128</v>
      </c>
      <c r="P116" s="67">
        <f>B116-D116</f>
        <v>0.20990323539240963</v>
      </c>
      <c r="Q116" s="67">
        <f>B116-E116</f>
        <v>0.22180684985024096</v>
      </c>
      <c r="R116" s="71">
        <f>'Data Descriptors 2'!$C116-'Data Descriptors 2'!$B116</f>
        <v>-0.20890684985024097</v>
      </c>
      <c r="S116" s="71">
        <f>B116-F116</f>
        <v>0.17325012783658253</v>
      </c>
      <c r="T116" s="68">
        <f>((I116/100)^(1/(A116-$A$21+1)))-((L116/100)^(1/(A116-$A$21+1)))</f>
        <v>5.2277478113130105E-2</v>
      </c>
      <c r="U116" s="69">
        <f>'[1]Inflation Rate'!C121</f>
        <v>3.3521200000000001E-2</v>
      </c>
      <c r="V116" s="53">
        <f>(1+B116)/(1+$U116)-1</f>
        <v>0.21972035972773551</v>
      </c>
      <c r="W116" s="53">
        <f t="shared" ref="W116:Z117" si="23">(1+C116)/(1+$U116)-1</f>
        <v>1.7589189268686578E-2</v>
      </c>
      <c r="X116" s="53">
        <f t="shared" si="23"/>
        <v>1.6625120469547339E-2</v>
      </c>
      <c r="Y116" s="53">
        <f t="shared" si="23"/>
        <v>5.1075875366657364E-3</v>
      </c>
      <c r="Z116" s="53">
        <f t="shared" si="23"/>
        <v>5.2089422078287706E-2</v>
      </c>
      <c r="AA116" s="53">
        <f>(1+G116)/(1+$U116)-1</f>
        <v>2.2508342705744422E-2</v>
      </c>
      <c r="AB116" s="53">
        <f>(1+H116)/(1+$U116)-1</f>
        <v>9.5885762422843746E-2</v>
      </c>
      <c r="AC116" s="34">
        <f t="shared" si="22"/>
        <v>44386.652500614095</v>
      </c>
      <c r="AD116" s="36">
        <f t="shared" si="22"/>
        <v>238146.02981781386</v>
      </c>
      <c r="AE116" s="35">
        <f t="shared" si="22"/>
        <v>126.84242661094763</v>
      </c>
      <c r="AF116" s="35">
        <f t="shared" si="22"/>
        <v>410.5027615688262</v>
      </c>
      <c r="AG116" s="35">
        <f t="shared" si="22"/>
        <v>2793.1470024087671</v>
      </c>
      <c r="AH116" s="40">
        <f>AH115*(1+AA116)</f>
        <v>300.46797152359852</v>
      </c>
      <c r="AI116" s="40">
        <f>AI115*(1+AB116)</f>
        <v>566.39216227847385</v>
      </c>
      <c r="AJ116" s="51">
        <f>'Data Descriptors 2'!$V116-'Data Descriptors 2'!$X116</f>
        <v>0.20309523925818818</v>
      </c>
      <c r="AK116" s="51">
        <f>'Data Descriptors 2'!$V116-'Data Descriptors 2'!$Y116</f>
        <v>0.21461277219106978</v>
      </c>
    </row>
    <row r="117" spans="1:37">
      <c r="A117" s="41">
        <v>2024</v>
      </c>
      <c r="B117" s="33">
        <f>('[1]S&amp;P 500 &amp; Raw Data'!B100-'[1]S&amp;P 500 &amp; Raw Data'!B99+'[1]S&amp;P 500 &amp; Raw Data'!C100)/'[1]S&amp;P 500 &amp; Raw Data'!B99</f>
        <v>0.24878611262526726</v>
      </c>
      <c r="C117" s="42">
        <f>'[1]Small Cap'!B98</f>
        <v>8.6199999999999999E-2</v>
      </c>
      <c r="D117" s="33">
        <f>'[1]T. Bill rates'!C102</f>
        <v>4.9699999999999994E-2</v>
      </c>
      <c r="E117" s="33">
        <f>'[1]S&amp;P 500 &amp; Raw Data'!F100</f>
        <v>-1.6371801436629807E-2</v>
      </c>
      <c r="F117" s="42">
        <f>'[1]S&amp;P 500 &amp; Raw Data'!J100</f>
        <v>1.7363556037785111E-2</v>
      </c>
      <c r="G117" s="42">
        <f>'[1]Home Prices'!B100/'[1]Home Prices'!B99-1</f>
        <v>4.2441000578744337E-2</v>
      </c>
      <c r="H117" s="33">
        <f>'[1]Gold Prices'!B99/'[1]Gold Prices'!B98-1</f>
        <v>0.25957034171004567</v>
      </c>
      <c r="I117" s="34">
        <f>I116*(1+B117)</f>
        <v>982817.81668107596</v>
      </c>
      <c r="J117" s="35">
        <f t="shared" si="21"/>
        <v>4586545.5549516575</v>
      </c>
      <c r="K117" s="35">
        <f>K116*(1+D117)</f>
        <v>2360.8169050358292</v>
      </c>
      <c r="L117" s="35">
        <f>L116*(1+E117)</f>
        <v>7159.4493486461479</v>
      </c>
      <c r="M117" s="35">
        <f>M116*(1+F117)</f>
        <v>50385.147773080993</v>
      </c>
      <c r="N117" s="40">
        <f>N116*(1+G117)</f>
        <v>5553.6977034779165</v>
      </c>
      <c r="O117" s="40">
        <f>O116*(1+H117)</f>
        <v>12649.467054263559</v>
      </c>
      <c r="P117" s="67">
        <f>B117-D117</f>
        <v>0.19908611262526726</v>
      </c>
      <c r="Q117" s="67">
        <f>B117-E117</f>
        <v>0.26515791406189704</v>
      </c>
      <c r="R117" s="71">
        <f>'Data Descriptors 2'!$C117-'Data Descriptors 2'!$B117</f>
        <v>-0.16258611262526726</v>
      </c>
      <c r="S117" s="71">
        <f>B117-F117</f>
        <v>0.23142255658748215</v>
      </c>
      <c r="T117" s="68">
        <f>((I117/100)^(1/(A117-$A$21+1)))-((L117/100)^(1/(A117-$A$21+1)))</f>
        <v>5.4394706565341622E-2</v>
      </c>
      <c r="U117" s="69">
        <f>'[1]Inflation Rate'!C122</f>
        <v>2.75E-2</v>
      </c>
      <c r="V117" s="53">
        <f>(1+B117)/(1+$U117)-1</f>
        <v>0.21536361326060072</v>
      </c>
      <c r="W117" s="53">
        <f>(1+C117)/(1+$U117)-1</f>
        <v>5.712895377128957E-2</v>
      </c>
      <c r="X117" s="53">
        <f t="shared" si="23"/>
        <v>2.1605839416058314E-2</v>
      </c>
      <c r="Y117" s="53">
        <f t="shared" si="23"/>
        <v>-4.2697616969956109E-2</v>
      </c>
      <c r="Z117" s="53">
        <f t="shared" si="23"/>
        <v>-9.8651522746616704E-3</v>
      </c>
      <c r="AA117" s="53">
        <f>(1+G117)/(1+$U117)-1</f>
        <v>1.4541119784665879E-2</v>
      </c>
      <c r="AB117" s="53">
        <f>(1+H117)/(1+$U117)-1</f>
        <v>0.2258592133431101</v>
      </c>
      <c r="AC117" s="34">
        <f>AC116*(1+V117)</f>
        <v>53945.922363689024</v>
      </c>
      <c r="AD117" s="36">
        <f>AD116*(1+W117)</f>
        <v>251751.06334609189</v>
      </c>
      <c r="AE117" s="35">
        <f>AE116*(1+X117)</f>
        <v>129.58296371144692</v>
      </c>
      <c r="AF117" s="35">
        <f>AF116*(1+Y117)</f>
        <v>392.97527189025124</v>
      </c>
      <c r="AG117" s="35">
        <f>AG116*(1+Z117)</f>
        <v>2765.5921819044897</v>
      </c>
      <c r="AH117" s="40">
        <f>AH116*(1+AA117)</f>
        <v>304.83711228897874</v>
      </c>
      <c r="AI117" s="40">
        <f>AI116*(1+AB117)</f>
        <v>694.31705049439313</v>
      </c>
      <c r="AJ117" s="51">
        <f>'Data Descriptors 2'!$V117-'Data Descriptors 2'!$X117</f>
        <v>0.1937577738445424</v>
      </c>
      <c r="AK117" s="51">
        <f>'Data Descriptors 2'!$V117-'Data Descriptors 2'!$Y117</f>
        <v>0.25806123023055683</v>
      </c>
    </row>
    <row r="118" spans="1:37" ht="17" thickBot="1">
      <c r="L118" s="43"/>
      <c r="M118" s="44"/>
      <c r="N118" s="44"/>
      <c r="O118" s="45"/>
    </row>
    <row r="119" spans="1:37" ht="17" thickBot="1">
      <c r="A119" s="145" t="s">
        <v>112</v>
      </c>
      <c r="B119" s="146"/>
      <c r="C119" s="146"/>
      <c r="D119" s="146"/>
      <c r="E119" s="146"/>
      <c r="F119" s="146"/>
      <c r="G119" s="146"/>
      <c r="H119" s="147"/>
      <c r="I119" s="46"/>
      <c r="J119" s="46"/>
      <c r="K119" s="46"/>
      <c r="L119" s="148" t="s">
        <v>113</v>
      </c>
      <c r="M119" s="149"/>
      <c r="N119" s="150" t="s">
        <v>114</v>
      </c>
      <c r="O119" s="151"/>
      <c r="Q119" s="152" t="s">
        <v>144</v>
      </c>
      <c r="R119" s="153"/>
      <c r="S119" s="21"/>
      <c r="U119" s="145" t="s">
        <v>145</v>
      </c>
      <c r="V119" s="146"/>
      <c r="W119" s="146"/>
      <c r="X119" s="146"/>
      <c r="Y119" s="146"/>
      <c r="Z119" s="146"/>
      <c r="AA119" s="146"/>
      <c r="AB119" s="147"/>
    </row>
    <row r="120" spans="1:37" ht="69" thickBot="1">
      <c r="A120" s="47" t="s">
        <v>115</v>
      </c>
      <c r="B120" s="48">
        <f t="shared" ref="B120:H120" si="24">AVERAGE(B21:B117)</f>
        <v>0.11794145831193953</v>
      </c>
      <c r="C120" s="48">
        <f t="shared" si="24"/>
        <v>0.17523917525773189</v>
      </c>
      <c r="D120" s="48">
        <f t="shared" si="24"/>
        <v>3.3552895622492439E-2</v>
      </c>
      <c r="E120" s="48">
        <f t="shared" si="24"/>
        <v>4.7917109451754321E-2</v>
      </c>
      <c r="F120" s="48">
        <f t="shared" si="24"/>
        <v>6.8998801439579302E-2</v>
      </c>
      <c r="G120" s="48">
        <f t="shared" si="24"/>
        <v>4.4095847391027114E-2</v>
      </c>
      <c r="H120" s="48">
        <f t="shared" si="24"/>
        <v>6.7542064758979586E-2</v>
      </c>
      <c r="I120" s="49"/>
      <c r="J120" s="49"/>
      <c r="K120" s="49"/>
      <c r="L120" s="47" t="s">
        <v>116</v>
      </c>
      <c r="M120" s="47" t="s">
        <v>117</v>
      </c>
      <c r="N120" s="47" t="s">
        <v>116</v>
      </c>
      <c r="O120" s="47" t="s">
        <v>117</v>
      </c>
      <c r="Q120" s="72" t="s">
        <v>146</v>
      </c>
      <c r="R120" s="72" t="s">
        <v>147</v>
      </c>
      <c r="S120" s="21"/>
      <c r="U120" s="73"/>
      <c r="V120" s="74" t="s">
        <v>135</v>
      </c>
      <c r="W120" s="74" t="str">
        <f>'Data Descriptors 2'!$W$20</f>
        <v>US Small cap (bottom decile)22</v>
      </c>
      <c r="X120" s="74" t="s">
        <v>137</v>
      </c>
      <c r="Y120" s="74" t="s">
        <v>138</v>
      </c>
      <c r="Z120" s="74" t="s">
        <v>139</v>
      </c>
      <c r="AA120" s="74" t="s">
        <v>140</v>
      </c>
      <c r="AB120" s="74" t="s">
        <v>141</v>
      </c>
      <c r="AH120" s="150" t="s">
        <v>114</v>
      </c>
      <c r="AI120" s="151"/>
    </row>
    <row r="121" spans="1:37">
      <c r="A121" s="50" t="s">
        <v>118</v>
      </c>
      <c r="B121" s="51">
        <f>AVERAGE(B68:B117)</f>
        <v>0.13554134667298087</v>
      </c>
      <c r="C121" s="51">
        <f t="shared" ref="C121:H121" si="25">AVERAGE(C68:C117)</f>
        <v>0.15776200000000001</v>
      </c>
      <c r="D121" s="51">
        <f t="shared" si="25"/>
        <v>4.3014594584950237E-2</v>
      </c>
      <c r="E121" s="51">
        <f t="shared" si="25"/>
        <v>6.5209173378696653E-2</v>
      </c>
      <c r="F121" s="51">
        <f t="shared" si="25"/>
        <v>8.9381591552739434E-2</v>
      </c>
      <c r="G121" s="51">
        <f t="shared" si="25"/>
        <v>5.4301206802971735E-2</v>
      </c>
      <c r="H121" s="51">
        <f t="shared" si="25"/>
        <v>7.5588267636722356E-2</v>
      </c>
      <c r="I121" s="26"/>
      <c r="J121" s="26"/>
      <c r="K121" s="26"/>
      <c r="L121" s="51">
        <f>B120-D120</f>
        <v>8.4388562689447083E-2</v>
      </c>
      <c r="M121" s="51">
        <f>B120-E120</f>
        <v>7.0024348860185215E-2</v>
      </c>
      <c r="N121" s="52">
        <f>STDEV(P21:P117)/(($A$117-$A$21+1)^0.5)</f>
        <v>2.0106755769719164E-2</v>
      </c>
      <c r="O121" s="52">
        <f>STDEV(Q21:Q117)/(($A$117-$A$21+1)^0.5)</f>
        <v>2.1243404039561403E-2</v>
      </c>
      <c r="Q121" s="75">
        <f>C120-B120</f>
        <v>5.729771694579236E-2</v>
      </c>
      <c r="R121" s="75">
        <f>STDEV(R21:R117)/(($A$117-$A$21+1)^0.5)</f>
        <v>2.7722645503287999E-2</v>
      </c>
      <c r="S121" s="21"/>
      <c r="U121" s="47" t="s">
        <v>115</v>
      </c>
      <c r="V121" s="52">
        <f>AVERAGE(V21:V117)</f>
        <v>8.5485478748109509E-2</v>
      </c>
      <c r="W121" s="52">
        <f t="shared" ref="W121:AB121" si="26">AVERAGE(W21:W117)</f>
        <v>0.14112706943481718</v>
      </c>
      <c r="X121" s="52">
        <f t="shared" si="26"/>
        <v>3.3924409208368656E-3</v>
      </c>
      <c r="Y121" s="52">
        <f t="shared" si="26"/>
        <v>1.803041655969365E-2</v>
      </c>
      <c r="Z121" s="52">
        <f t="shared" si="26"/>
        <v>3.8531070552655929E-2</v>
      </c>
      <c r="AA121" s="52">
        <f t="shared" si="26"/>
        <v>1.2791099231447979E-2</v>
      </c>
      <c r="AB121" s="52">
        <f t="shared" si="26"/>
        <v>3.4768196664725685E-2</v>
      </c>
      <c r="AH121" s="47" t="s">
        <v>116</v>
      </c>
      <c r="AI121" s="47" t="s">
        <v>117</v>
      </c>
    </row>
    <row r="122" spans="1:37">
      <c r="A122" s="50" t="s">
        <v>119</v>
      </c>
      <c r="B122" s="51">
        <f>AVERAGE(B108:B117)</f>
        <v>0.14113610855794417</v>
      </c>
      <c r="C122" s="51">
        <f t="shared" ref="C122:H122" si="27">AVERAGE(C108:C117)</f>
        <v>6.6599999999999993E-2</v>
      </c>
      <c r="D122" s="51">
        <f t="shared" si="27"/>
        <v>1.7765958611817786E-2</v>
      </c>
      <c r="E122" s="51">
        <f t="shared" si="27"/>
        <v>5.7260162835639315E-3</v>
      </c>
      <c r="F122" s="51">
        <f t="shared" si="27"/>
        <v>3.8098453176218343E-2</v>
      </c>
      <c r="G122" s="51">
        <f t="shared" si="27"/>
        <v>6.9775615580074696E-2</v>
      </c>
      <c r="H122" s="51">
        <f t="shared" si="27"/>
        <v>8.6991611024329646E-2</v>
      </c>
      <c r="I122" s="26"/>
      <c r="J122" s="26"/>
      <c r="K122" s="26"/>
      <c r="L122" s="51">
        <f>B121-D121</f>
        <v>9.2526752088030628E-2</v>
      </c>
      <c r="M122" s="51">
        <f>B121-E121</f>
        <v>7.033217329428422E-2</v>
      </c>
      <c r="N122" s="51">
        <f>STDEV(P68:P117)/(($A$117-$A$68+1)^0.5)</f>
        <v>2.3018787373718142E-2</v>
      </c>
      <c r="O122" s="51">
        <f>STDEV(Q68:Q117)/(($A$117-$A$68+1)^0.5)</f>
        <v>2.6735589964522671E-2</v>
      </c>
      <c r="Q122" s="75">
        <f>C121-B121</f>
        <v>2.2220653327019141E-2</v>
      </c>
      <c r="R122" s="75">
        <f>STDEV(R68:R117)/(($A$117-$A$68+1)^0.5)</f>
        <v>2.7815773824265796E-2</v>
      </c>
      <c r="S122" s="21"/>
      <c r="U122" s="50" t="s">
        <v>118</v>
      </c>
      <c r="V122" s="51">
        <f>AVERAGE(V68:V117)</f>
        <v>9.5396182731021101E-2</v>
      </c>
      <c r="W122" s="51">
        <f t="shared" ref="W122:AB122" si="28">AVERAGE(W68:W117)</f>
        <v>0.11609605642632531</v>
      </c>
      <c r="X122" s="51">
        <f t="shared" si="28"/>
        <v>5.8596568189626134E-3</v>
      </c>
      <c r="Y122" s="51">
        <f t="shared" si="28"/>
        <v>2.8370274180444122E-2</v>
      </c>
      <c r="Z122" s="51">
        <f t="shared" si="28"/>
        <v>5.1587487936394394E-2</v>
      </c>
      <c r="AA122" s="51">
        <f t="shared" si="28"/>
        <v>1.6765253640965008E-2</v>
      </c>
      <c r="AB122" s="51">
        <f t="shared" si="28"/>
        <v>3.6006690647412187E-2</v>
      </c>
      <c r="AH122" s="52">
        <f>STDEV(AJ22:AJ118)/(($A$116-$A$21+1)^0.5)</f>
        <v>1.9718722682041473E-2</v>
      </c>
      <c r="AI122" s="52">
        <f>STDEV(AK22:AK118)/(($A$116-$A$21+1)^0.5)</f>
        <v>2.0777238572154903E-2</v>
      </c>
    </row>
    <row r="123" spans="1:37" ht="17" thickBot="1">
      <c r="L123" s="53">
        <f>B122-D122</f>
        <v>0.12337014994612638</v>
      </c>
      <c r="M123" s="53">
        <f>B122-E122</f>
        <v>0.13541009227438025</v>
      </c>
      <c r="N123" s="51">
        <f>STDEV(P108:P117)/(($A$117-$A$108+1)^0.5)</f>
        <v>5.039289381343607E-2</v>
      </c>
      <c r="O123" s="51">
        <f>STDEV(Q108:Q117)/(($A$117-$A$108+1)^0.5)</f>
        <v>4.0102345282608733E-2</v>
      </c>
      <c r="Q123" s="75">
        <f>C122-B122</f>
        <v>-7.4536108557944181E-2</v>
      </c>
      <c r="R123" s="75">
        <f>STDEV(R108:R117)/(($A$117-$A$108+1)^0.5)</f>
        <v>3.6285320381989339E-2</v>
      </c>
      <c r="S123" s="21"/>
      <c r="U123" s="50" t="s">
        <v>119</v>
      </c>
      <c r="V123" s="51">
        <f>AVERAGE(V108:V117)</f>
        <v>0.10846030413598129</v>
      </c>
      <c r="W123" s="51">
        <f t="shared" ref="W123:AB123" si="29">AVERAGE(W108:W117)</f>
        <v>3.6317704612753479E-2</v>
      </c>
      <c r="X123" s="51">
        <f t="shared" si="29"/>
        <v>-1.1601518799770538E-2</v>
      </c>
      <c r="Y123" s="51">
        <f t="shared" si="29"/>
        <v>-2.226425370945808E-2</v>
      </c>
      <c r="Z123" s="51">
        <f t="shared" si="29"/>
        <v>8.958526192855254E-3</v>
      </c>
      <c r="AA123" s="51">
        <f t="shared" si="29"/>
        <v>3.8483228042667475E-2</v>
      </c>
      <c r="AB123" s="51">
        <f t="shared" si="29"/>
        <v>5.6177077493266683E-2</v>
      </c>
      <c r="AH123" s="51">
        <f>STDEV(AJ68:AJ118)/(($A$116-$A$67+1)^0.5)</f>
        <v>2.2299903157312024E-2</v>
      </c>
      <c r="AI123" s="51">
        <f>STDEV(AK68:AK118)/(($A$116-$A$67+1)^0.5)</f>
        <v>2.5924894627342345E-2</v>
      </c>
    </row>
    <row r="124" spans="1:37" ht="17" thickBot="1">
      <c r="A124" s="145" t="s">
        <v>120</v>
      </c>
      <c r="B124" s="146"/>
      <c r="C124" s="146"/>
      <c r="D124" s="146"/>
      <c r="E124" s="146"/>
      <c r="F124" s="146"/>
      <c r="G124" s="146"/>
      <c r="H124" s="147"/>
      <c r="I124" s="46"/>
      <c r="J124" s="46"/>
      <c r="K124" s="46"/>
      <c r="L124" s="157" t="s">
        <v>121</v>
      </c>
      <c r="M124" s="157"/>
      <c r="N124" s="54"/>
      <c r="O124" s="54"/>
      <c r="Q124" s="152" t="s">
        <v>148</v>
      </c>
      <c r="R124" s="153"/>
      <c r="S124" s="21"/>
      <c r="U124" s="145" t="s">
        <v>120</v>
      </c>
      <c r="V124" s="146"/>
      <c r="W124" s="146"/>
      <c r="X124" s="146"/>
      <c r="Y124" s="146"/>
      <c r="Z124" s="146"/>
      <c r="AA124" s="146"/>
      <c r="AB124" s="147"/>
      <c r="AC124" s="76"/>
      <c r="AD124" s="76"/>
      <c r="AH124" s="51">
        <f>STDEV(AJ108:AJ118)/(($A$116-$A$107+1)^0.5)</f>
        <v>4.8268537327669753E-2</v>
      </c>
      <c r="AI124" s="51">
        <f>STDEV(AK108:AK118)/(($A$116-$A$107+1)^0.5)</f>
        <v>3.8358208719381566E-2</v>
      </c>
    </row>
    <row r="125" spans="1:37" ht="34">
      <c r="A125" s="47" t="s">
        <v>115</v>
      </c>
      <c r="B125" s="55">
        <f t="shared" ref="B125:H125" si="30">(I117/100)^(1/($A$117-$A$21+1))-1</f>
        <v>9.9409576686829926E-2</v>
      </c>
      <c r="C125" s="48">
        <f t="shared" si="30"/>
        <v>0.11700869492131938</v>
      </c>
      <c r="D125" s="55">
        <f t="shared" si="30"/>
        <v>3.3130734475308454E-2</v>
      </c>
      <c r="E125" s="55">
        <f t="shared" si="30"/>
        <v>4.5014870121488304E-2</v>
      </c>
      <c r="F125" s="55">
        <f t="shared" si="30"/>
        <v>6.6249373602454975E-2</v>
      </c>
      <c r="G125" s="55">
        <f t="shared" si="30"/>
        <v>4.2282350945406444E-2</v>
      </c>
      <c r="H125" s="55">
        <f t="shared" si="30"/>
        <v>5.1164892766943915E-2</v>
      </c>
      <c r="I125" s="56"/>
      <c r="J125" s="56"/>
      <c r="K125" s="56"/>
      <c r="L125" s="47" t="s">
        <v>116</v>
      </c>
      <c r="M125" s="47" t="s">
        <v>117</v>
      </c>
      <c r="Q125" s="72" t="s">
        <v>146</v>
      </c>
      <c r="R125" s="77"/>
      <c r="U125" s="47" t="s">
        <v>115</v>
      </c>
      <c r="V125" s="55">
        <f>(AC117/100)^(1/($A$117-$A$21+1))-1</f>
        <v>6.7000251735825023E-2</v>
      </c>
      <c r="W125" s="55">
        <f t="shared" ref="W125:AB125" si="31">(AD117/100)^(1/($A$117-$A$21+1))-1</f>
        <v>8.4080568284566448E-2</v>
      </c>
      <c r="X125" s="55">
        <f t="shared" si="31"/>
        <v>2.6752332676649448E-3</v>
      </c>
      <c r="Y125" s="55">
        <f t="shared" si="31"/>
        <v>1.4209038316325806E-2</v>
      </c>
      <c r="Z125" s="55">
        <f t="shared" si="31"/>
        <v>3.4817573151865622E-2</v>
      </c>
      <c r="AA125" s="55">
        <f t="shared" si="31"/>
        <v>1.1557070650609402E-2</v>
      </c>
      <c r="AB125" s="55">
        <f t="shared" si="31"/>
        <v>2.01777653949613E-2</v>
      </c>
      <c r="AC125" s="76"/>
      <c r="AD125" s="76"/>
    </row>
    <row r="126" spans="1:37">
      <c r="A126" s="50" t="s">
        <v>118</v>
      </c>
      <c r="B126" s="57">
        <f t="shared" ref="B126:H126" si="32">(I117/I67)^(1/($A$117-$A$67))-1</f>
        <v>0.12263649712401836</v>
      </c>
      <c r="C126" s="51">
        <f t="shared" si="32"/>
        <v>0.12924370375340977</v>
      </c>
      <c r="D126" s="57">
        <f t="shared" si="32"/>
        <v>4.2474957875517694E-2</v>
      </c>
      <c r="E126" s="57">
        <f t="shared" si="32"/>
        <v>6.0479737863578853E-2</v>
      </c>
      <c r="F126" s="57">
        <f t="shared" si="32"/>
        <v>8.6198205238919634E-2</v>
      </c>
      <c r="G126" s="57">
        <f t="shared" si="32"/>
        <v>5.2760765871526116E-2</v>
      </c>
      <c r="H126" s="57">
        <f t="shared" si="32"/>
        <v>5.4197693555521731E-2</v>
      </c>
      <c r="I126" s="56"/>
      <c r="J126" s="56"/>
      <c r="K126" s="56"/>
      <c r="L126" s="51">
        <f>B125-D125</f>
        <v>6.6278842211521471E-2</v>
      </c>
      <c r="M126" s="53">
        <f>B125-E125</f>
        <v>5.4394706565341622E-2</v>
      </c>
      <c r="N126" s="26"/>
      <c r="O126" s="26"/>
      <c r="Q126" s="75">
        <f>C125-B125</f>
        <v>1.7599118234489453E-2</v>
      </c>
      <c r="R126" s="26"/>
      <c r="U126" s="50" t="s">
        <v>118</v>
      </c>
      <c r="V126" s="57">
        <f>(AC117/AC67)^(1/($A$116-$A$66))-1</f>
        <v>8.2857457530196577E-2</v>
      </c>
      <c r="W126" s="57">
        <f t="shared" ref="W126:AB126" si="33">(AD117/AD67)^(1/($A$116-$A$66))-1</f>
        <v>8.9230547119220294E-2</v>
      </c>
      <c r="X126" s="57">
        <f t="shared" si="33"/>
        <v>5.5363292712162782E-3</v>
      </c>
      <c r="Y126" s="57">
        <f t="shared" si="33"/>
        <v>2.2903135295436083E-2</v>
      </c>
      <c r="Z126" s="57">
        <f t="shared" si="33"/>
        <v>4.7710305082789173E-2</v>
      </c>
      <c r="AA126" s="57">
        <f t="shared" si="33"/>
        <v>1.5457674180040293E-2</v>
      </c>
      <c r="AB126" s="57">
        <f t="shared" si="33"/>
        <v>1.6843686359879761E-2</v>
      </c>
      <c r="AC126" s="76"/>
      <c r="AD126" s="76"/>
    </row>
    <row r="127" spans="1:37">
      <c r="A127" s="50" t="s">
        <v>119</v>
      </c>
      <c r="B127" s="57">
        <f t="shared" ref="B127:H127" si="34">(I117/I107)^(1/($A$117-$A$107))-1</f>
        <v>0.12977047682278142</v>
      </c>
      <c r="C127" s="51">
        <f t="shared" si="34"/>
        <v>5.2108368154607732E-2</v>
      </c>
      <c r="D127" s="57">
        <f t="shared" si="34"/>
        <v>1.7610103153560708E-2</v>
      </c>
      <c r="E127" s="57">
        <f t="shared" si="34"/>
        <v>2.651700617840147E-3</v>
      </c>
      <c r="F127" s="57">
        <f t="shared" si="34"/>
        <v>3.4351545751551749E-2</v>
      </c>
      <c r="G127" s="57">
        <f t="shared" si="34"/>
        <v>6.8943021927622805E-2</v>
      </c>
      <c r="H127" s="57">
        <f t="shared" si="34"/>
        <v>8.0297724577368168E-2</v>
      </c>
      <c r="I127" s="56"/>
      <c r="J127" s="56"/>
      <c r="K127" s="56"/>
      <c r="L127" s="58">
        <f>B126-D126</f>
        <v>8.0161539248500668E-2</v>
      </c>
      <c r="M127" s="59">
        <f>B126-E126</f>
        <v>6.2156759260439509E-2</v>
      </c>
      <c r="N127" s="26"/>
      <c r="O127" s="26"/>
      <c r="P127" s="78"/>
      <c r="Q127" s="75">
        <f>C126-B126</f>
        <v>6.6072066293914045E-3</v>
      </c>
      <c r="R127" s="26"/>
      <c r="U127" s="50" t="s">
        <v>119</v>
      </c>
      <c r="V127" s="57">
        <f>(AC117/AC107)^(1/($A$116-$A$106))-1</f>
        <v>9.699886612480868E-2</v>
      </c>
      <c r="W127" s="57">
        <f t="shared" ref="W127:AB127" si="35">(AD117/AD107)^(1/($A$116-$A$106))-1</f>
        <v>2.1589526885001264E-2</v>
      </c>
      <c r="X127" s="57">
        <f t="shared" si="35"/>
        <v>-1.1908035996842425E-2</v>
      </c>
      <c r="Y127" s="57">
        <f t="shared" si="35"/>
        <v>-2.6432535403900226E-2</v>
      </c>
      <c r="Z127" s="57">
        <f t="shared" si="35"/>
        <v>4.3477822636397434E-3</v>
      </c>
      <c r="AA127" s="57">
        <f t="shared" si="35"/>
        <v>3.7935852514378032E-2</v>
      </c>
      <c r="AB127" s="57">
        <f t="shared" si="35"/>
        <v>4.8961185701508869E-2</v>
      </c>
      <c r="AC127" s="76"/>
      <c r="AD127" s="76"/>
    </row>
    <row r="128" spans="1:37">
      <c r="L128" s="60">
        <f>B127-D127</f>
        <v>0.11216037366922071</v>
      </c>
      <c r="M128" s="51">
        <f>B127-E127</f>
        <v>0.12711877620494128</v>
      </c>
      <c r="N128" s="26"/>
      <c r="O128" s="26"/>
      <c r="Q128" s="75">
        <f>C127-B127</f>
        <v>-7.7662108668173691E-2</v>
      </c>
      <c r="R128" s="26"/>
    </row>
    <row r="129" spans="1:1">
      <c r="A129" s="19" t="s">
        <v>122</v>
      </c>
    </row>
    <row r="130" spans="1:1">
      <c r="A130" s="19" t="s">
        <v>123</v>
      </c>
    </row>
  </sheetData>
  <mergeCells count="25">
    <mergeCell ref="AH120:AI120"/>
    <mergeCell ref="A124:H124"/>
    <mergeCell ref="L124:M124"/>
    <mergeCell ref="Q124:R124"/>
    <mergeCell ref="U124:AB124"/>
    <mergeCell ref="U19:AB19"/>
    <mergeCell ref="AC19:AI19"/>
    <mergeCell ref="AJ19:AK19"/>
    <mergeCell ref="A119:H119"/>
    <mergeCell ref="L119:M119"/>
    <mergeCell ref="N119:O119"/>
    <mergeCell ref="Q119:R119"/>
    <mergeCell ref="U119:AB119"/>
    <mergeCell ref="P19:T19"/>
    <mergeCell ref="B6:K6"/>
    <mergeCell ref="B7:K7"/>
    <mergeCell ref="G9:K10"/>
    <mergeCell ref="B19:H19"/>
    <mergeCell ref="I19:O19"/>
    <mergeCell ref="B5:K5"/>
    <mergeCell ref="B1:K1"/>
    <mergeCell ref="B2:K2"/>
    <mergeCell ref="B3:F3"/>
    <mergeCell ref="I3:K3"/>
    <mergeCell ref="B4:K4"/>
  </mergeCells>
  <hyperlinks>
    <hyperlink ref="B2" r:id="rId1" xr:uid="{DC8B6B59-3E8E-5E4F-9C56-4F83546D5A88}"/>
    <hyperlink ref="B4" r:id="rId2" xr:uid="{68338117-5ED2-CB40-867E-41AFF2F7EB8A}"/>
    <hyperlink ref="B5" r:id="rId3" display="http://www.stern.nyu.edu/~adamodar/New_Home_Page/data.html" xr:uid="{357D52E3-5F3E-A140-862F-0A3337EADDF3}"/>
    <hyperlink ref="B6" r:id="rId4" display="http://www.stern.nyu.edu/~adamodar/pc/datasets/indname.xls" xr:uid="{51FD62E0-1188-F043-AE0E-248A7C0CCF1D}"/>
    <hyperlink ref="B7" r:id="rId5" display="http://www.stern.nyu.edu/~adamodar/New_Home_Page/datafile/variable.htm" xr:uid="{80277927-CFD1-7043-8F69-C3EAF0710CE7}"/>
  </hyperlinks>
  <printOptions gridLines="1" gridLinesSet="0"/>
  <pageMargins left="0.75" right="0.75" top="1" bottom="1" header="0.5" footer="0.5"/>
  <pageSetup orientation="portrait" horizontalDpi="4294967292" verticalDpi="4294967292"/>
  <headerFooter alignWithMargins="0">
    <oddHeader>&amp;A</oddHeader>
    <oddFooter>Page &amp;P</oddFooter>
  </headerFooter>
  <legacyDrawing r:id="rId6"/>
  <tableParts count="1">
    <tablePart r:id="rId7"/>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7D21E-E773-AC41-A23B-17A3942EAC31}">
  <dimension ref="A9:A41"/>
  <sheetViews>
    <sheetView workbookViewId="0">
      <selection activeCell="D40" sqref="D40"/>
    </sheetView>
  </sheetViews>
  <sheetFormatPr baseColWidth="10" defaultRowHeight="16"/>
  <sheetData>
    <row r="9" spans="1:1">
      <c r="A9" t="s">
        <v>213</v>
      </c>
    </row>
    <row r="41" spans="1:1">
      <c r="A41" t="s">
        <v>228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75E75-0116-5E48-897A-5DA783CF2EB6}">
  <dimension ref="A8:K47"/>
  <sheetViews>
    <sheetView topLeftCell="A18" workbookViewId="0">
      <selection activeCell="A17" sqref="A17:A23"/>
    </sheetView>
  </sheetViews>
  <sheetFormatPr baseColWidth="10" defaultRowHeight="16"/>
  <cols>
    <col min="1" max="11" width="17.33203125" customWidth="1"/>
  </cols>
  <sheetData>
    <row r="8" spans="1:11">
      <c r="A8" s="79" t="s">
        <v>183</v>
      </c>
      <c r="B8" s="79" t="s">
        <v>184</v>
      </c>
      <c r="C8" s="79" t="s">
        <v>185</v>
      </c>
      <c r="D8" s="79" t="s">
        <v>186</v>
      </c>
      <c r="E8" s="79" t="s">
        <v>187</v>
      </c>
      <c r="F8" s="79" t="s">
        <v>188</v>
      </c>
      <c r="G8" s="79" t="s">
        <v>189</v>
      </c>
      <c r="H8" s="79" t="s">
        <v>190</v>
      </c>
      <c r="I8" s="79" t="s">
        <v>191</v>
      </c>
      <c r="J8" s="79" t="s">
        <v>192</v>
      </c>
      <c r="K8" s="79" t="s">
        <v>193</v>
      </c>
    </row>
    <row r="9" spans="1:11">
      <c r="A9" s="79" t="s">
        <v>194</v>
      </c>
      <c r="B9" s="79">
        <v>2</v>
      </c>
      <c r="C9" s="89">
        <f>(137.46 + 142.16) / 2</f>
        <v>139.81</v>
      </c>
      <c r="D9" s="79" cm="1" vm="75">
        <f t="array" aca="1" ref="D9" ca="1">_xlfn.STOCKHISTORY("AAPL", DATE(2025,10,24), DATE(2025,10,24),0,0,1)</f>
        <v>262.82</v>
      </c>
      <c r="E9" s="90">
        <f>B9*C9</f>
        <v>279.62</v>
      </c>
      <c r="F9" s="89">
        <f ca="1">B9*D9</f>
        <v>525.64</v>
      </c>
      <c r="G9" s="89">
        <f ca="1">F9-E9</f>
        <v>246.01999999999998</v>
      </c>
      <c r="H9" s="91">
        <f t="shared" ref="H9:H15" ca="1" si="0">(F9-E9)/E9</f>
        <v>0.87983692153637072</v>
      </c>
      <c r="I9" s="79">
        <v>3</v>
      </c>
      <c r="J9" s="91">
        <f ca="1">((1 + H9) ^ (1/I9)) - 1</f>
        <v>0.23416547106443586</v>
      </c>
      <c r="K9" s="91">
        <f ca="1">LN(F9) - LN(E9)</f>
        <v>0.63118502921575903</v>
      </c>
    </row>
    <row r="10" spans="1:11">
      <c r="A10" s="79" t="s">
        <v>195</v>
      </c>
      <c r="B10" s="79">
        <v>2</v>
      </c>
      <c r="C10" s="89">
        <v>450</v>
      </c>
      <c r="D10" s="79" cm="1" vm="76">
        <f t="array" aca="1" ref="D10" ca="1">_xlfn.STOCKHISTORY("COST", DATE(2025,10,24), DATE(2025,10,24),0,0,1)</f>
        <v>932.14</v>
      </c>
      <c r="E10" s="89">
        <f t="shared" ref="E10:E11" si="1">B10*C10</f>
        <v>900</v>
      </c>
      <c r="F10" s="89">
        <f t="shared" ref="F10:F15" ca="1" si="2">B10*D10</f>
        <v>1864.28</v>
      </c>
      <c r="G10" s="89">
        <f t="shared" ref="G10:G15" ca="1" si="3">F10-E10</f>
        <v>964.28</v>
      </c>
      <c r="H10" s="91">
        <f t="shared" ca="1" si="0"/>
        <v>1.0714222222222223</v>
      </c>
      <c r="I10" s="79">
        <v>2</v>
      </c>
      <c r="J10" s="91">
        <f t="shared" ref="J10:J15" ca="1" si="4">((1 + H10) ^ (1/I10)) - 1</f>
        <v>0.43924362851541643</v>
      </c>
      <c r="K10" s="91">
        <f t="shared" ref="K10:K15" ca="1" si="5">LN(F10) - LN(E10)</f>
        <v>0.72823543523241785</v>
      </c>
    </row>
    <row r="11" spans="1:11">
      <c r="A11" s="79" t="s">
        <v>196</v>
      </c>
      <c r="B11" s="79">
        <v>1</v>
      </c>
      <c r="C11" s="89">
        <v>293</v>
      </c>
      <c r="D11" s="79" cm="1" vm="77">
        <f t="array" aca="1" ref="D11" ca="1">_xlfn.STOCKHISTORY("ARCX:DIA", DATE(2025,10,24), DATE(2025,10,24),0,0,1)</f>
        <v>472.21</v>
      </c>
      <c r="E11" s="89">
        <f t="shared" si="1"/>
        <v>293</v>
      </c>
      <c r="F11" s="89">
        <f t="shared" ca="1" si="2"/>
        <v>472.21</v>
      </c>
      <c r="G11" s="89">
        <f t="shared" ca="1" si="3"/>
        <v>179.20999999999998</v>
      </c>
      <c r="H11" s="91">
        <f t="shared" ca="1" si="0"/>
        <v>0.61163822525597267</v>
      </c>
      <c r="I11" s="79">
        <v>3</v>
      </c>
      <c r="J11" s="91">
        <f t="shared" ca="1" si="4"/>
        <v>0.17243611177104623</v>
      </c>
      <c r="K11" s="91">
        <f t="shared" ca="1" si="5"/>
        <v>0.47725119287728024</v>
      </c>
    </row>
    <row r="12" spans="1:11">
      <c r="A12" s="79" t="s">
        <v>197</v>
      </c>
      <c r="B12" s="79">
        <v>1</v>
      </c>
      <c r="C12" s="89">
        <v>19.5</v>
      </c>
      <c r="D12" s="89">
        <v>15.84</v>
      </c>
      <c r="E12" s="89">
        <f>B12*C12</f>
        <v>19.5</v>
      </c>
      <c r="F12" s="89">
        <f t="shared" si="2"/>
        <v>15.84</v>
      </c>
      <c r="G12" s="89">
        <f t="shared" si="3"/>
        <v>-3.66</v>
      </c>
      <c r="H12" s="91">
        <f t="shared" si="0"/>
        <v>-0.18769230769230769</v>
      </c>
      <c r="I12" s="79">
        <v>1</v>
      </c>
      <c r="J12" s="91">
        <f t="shared" si="4"/>
        <v>-0.18769230769230771</v>
      </c>
      <c r="K12" s="91">
        <f t="shared" si="5"/>
        <v>-0.20787607918342133</v>
      </c>
    </row>
    <row r="13" spans="1:11">
      <c r="A13" s="79" t="s">
        <v>198</v>
      </c>
      <c r="B13" s="79">
        <v>2</v>
      </c>
      <c r="C13" s="89">
        <v>59.97</v>
      </c>
      <c r="D13" s="79" cm="1" vm="78">
        <f t="array" aca="1" ref="D13" ca="1">_xlfn.STOCKHISTORY("GEHC", DATE(2025,10,24), DATE(2025,10,24),0,0,1)</f>
        <v>78.14</v>
      </c>
      <c r="E13" s="89">
        <f t="shared" ref="E13:E15" si="6">B13*C13</f>
        <v>119.94</v>
      </c>
      <c r="F13" s="89">
        <f t="shared" ca="1" si="2"/>
        <v>156.28</v>
      </c>
      <c r="G13" s="89">
        <f t="shared" ca="1" si="3"/>
        <v>36.340000000000003</v>
      </c>
      <c r="H13" s="91">
        <f t="shared" ca="1" si="0"/>
        <v>0.30298482574620644</v>
      </c>
      <c r="I13" s="79">
        <v>2</v>
      </c>
      <c r="J13" s="91">
        <f t="shared" ca="1" si="4"/>
        <v>0.14148360730507492</v>
      </c>
      <c r="K13" s="91">
        <f t="shared" ca="1" si="5"/>
        <v>0.2646576524465063</v>
      </c>
    </row>
    <row r="14" spans="1:11">
      <c r="A14" s="79" t="s">
        <v>199</v>
      </c>
      <c r="B14" s="79">
        <v>2</v>
      </c>
      <c r="C14" s="89">
        <v>43.74</v>
      </c>
      <c r="D14" s="79" cm="1" vm="79">
        <f t="array" aca="1" ref="D14" ca="1">_xlfn.STOCKHISTORY("ONEQ", DATE(2025,10,24), DATE(2025,10,24),0,0,1)</f>
        <v>91.263099999999994</v>
      </c>
      <c r="E14" s="89">
        <f t="shared" si="6"/>
        <v>87.48</v>
      </c>
      <c r="F14" s="89">
        <f t="shared" ca="1" si="2"/>
        <v>182.52619999999999</v>
      </c>
      <c r="G14" s="89">
        <f t="shared" ca="1" si="3"/>
        <v>95.046199999999985</v>
      </c>
      <c r="H14" s="91">
        <f t="shared" ca="1" si="0"/>
        <v>1.0864906264288978</v>
      </c>
      <c r="I14" s="79">
        <v>3</v>
      </c>
      <c r="J14" s="91">
        <f t="shared" ca="1" si="4"/>
        <v>0.2778272519292877</v>
      </c>
      <c r="K14" s="91">
        <f t="shared" ca="1" si="5"/>
        <v>0.7354835285538277</v>
      </c>
    </row>
    <row r="15" spans="1:11">
      <c r="A15" s="79" t="s">
        <v>200</v>
      </c>
      <c r="B15" s="79">
        <v>1</v>
      </c>
      <c r="C15" s="89">
        <v>54.84</v>
      </c>
      <c r="D15" s="79" cm="1" vm="80">
        <f t="array" aca="1" ref="D15" ca="1">_xlfn.STOCKHISTORY("RDNT", DATE(2025,10,24), DATE(2025,10,24),0,0,1)</f>
        <v>83.41</v>
      </c>
      <c r="E15" s="89">
        <f t="shared" si="6"/>
        <v>54.84</v>
      </c>
      <c r="F15" s="89">
        <f t="shared" ca="1" si="2"/>
        <v>83.41</v>
      </c>
      <c r="G15" s="89">
        <f t="shared" ca="1" si="3"/>
        <v>28.569999999999993</v>
      </c>
      <c r="H15" s="91">
        <f t="shared" ca="1" si="0"/>
        <v>0.52097009482129819</v>
      </c>
      <c r="I15" s="79">
        <v>1</v>
      </c>
      <c r="J15" s="91">
        <f t="shared" ca="1" si="4"/>
        <v>0.52097009482129808</v>
      </c>
      <c r="K15" s="91">
        <f t="shared" ca="1" si="5"/>
        <v>0.41934835155940586</v>
      </c>
    </row>
    <row r="16" spans="1:11">
      <c r="A16" s="79"/>
      <c r="B16" s="79"/>
      <c r="C16" s="79"/>
      <c r="D16" s="79"/>
      <c r="E16" s="79"/>
      <c r="F16" s="79"/>
      <c r="G16" s="79"/>
      <c r="H16" s="79"/>
      <c r="I16" s="79"/>
      <c r="J16" s="79"/>
      <c r="K16" s="79"/>
    </row>
    <row r="17" spans="1:11">
      <c r="A17" s="99"/>
      <c r="B17" s="79"/>
      <c r="C17" s="79"/>
      <c r="D17" s="79" t="s">
        <v>201</v>
      </c>
      <c r="E17" s="89">
        <f>SUM(E9:E15)</f>
        <v>1754.3799999999999</v>
      </c>
      <c r="F17" s="89">
        <f ca="1">SUM(F9:F15)</f>
        <v>3300.1862000000001</v>
      </c>
      <c r="G17" s="79"/>
      <c r="H17" s="79"/>
      <c r="I17" s="92"/>
      <c r="J17" s="79"/>
      <c r="K17" s="79"/>
    </row>
    <row r="18" spans="1:11">
      <c r="A18" s="99"/>
      <c r="B18" s="79"/>
      <c r="C18" s="79"/>
      <c r="D18" s="79"/>
      <c r="E18" s="79"/>
      <c r="F18" s="93"/>
      <c r="G18" s="79"/>
      <c r="H18" s="79"/>
      <c r="I18" s="79"/>
      <c r="J18" s="79"/>
      <c r="K18" s="79"/>
    </row>
    <row r="19" spans="1:11">
      <c r="A19" s="99"/>
      <c r="B19" s="79"/>
      <c r="C19" s="79"/>
      <c r="D19" s="94" t="s">
        <v>202</v>
      </c>
      <c r="E19" s="91">
        <f ca="1">(F17 - E17) / E17</f>
        <v>0.88111252978260146</v>
      </c>
      <c r="F19" s="79"/>
      <c r="G19" s="79"/>
      <c r="H19" s="79"/>
      <c r="I19" s="79"/>
      <c r="J19" s="79"/>
      <c r="K19" s="79"/>
    </row>
    <row r="20" spans="1:11">
      <c r="A20" s="99"/>
      <c r="B20" s="79"/>
      <c r="C20" s="79"/>
      <c r="D20" s="94" t="s">
        <v>203</v>
      </c>
      <c r="E20" s="91">
        <f ca="1">((1 + E19) ^ (1 / 3)) - 1</f>
        <v>0.23444456543208392</v>
      </c>
      <c r="F20" s="79"/>
      <c r="G20" s="79"/>
      <c r="H20" s="79"/>
      <c r="I20" s="79"/>
      <c r="J20" s="79"/>
      <c r="K20" s="79"/>
    </row>
    <row r="21" spans="1:11">
      <c r="A21" s="99"/>
    </row>
    <row r="22" spans="1:11">
      <c r="A22" s="99"/>
    </row>
    <row r="23" spans="1:11" ht="17" thickBot="1">
      <c r="A23" s="99"/>
      <c r="C23" s="95" t="s">
        <v>204</v>
      </c>
      <c r="D23" s="79" t="s">
        <v>205</v>
      </c>
      <c r="E23" s="96" t="s">
        <v>206</v>
      </c>
      <c r="F23" s="91"/>
      <c r="G23" s="79"/>
      <c r="H23" s="94" t="s">
        <v>207</v>
      </c>
      <c r="I23" s="97" t="s">
        <v>208</v>
      </c>
    </row>
    <row r="24" spans="1:11">
      <c r="A24" s="79"/>
      <c r="C24" s="96" t="s">
        <v>209</v>
      </c>
      <c r="D24" s="98">
        <f ca="1">AVERAGE(J9:J15)</f>
        <v>0.22834769395917881</v>
      </c>
      <c r="E24" s="93">
        <f ca="1">$F$17 * D24</f>
        <v>753.58990840590525</v>
      </c>
      <c r="F24" s="79"/>
      <c r="G24" s="79" t="s">
        <v>210</v>
      </c>
      <c r="H24" s="99">
        <f>'Data Descriptors 1'!B10</f>
        <v>2.4795550315710166E-2</v>
      </c>
      <c r="I24" s="100" cm="1">
        <f t="array" ref="I24:J24">'Data Descriptors 1'!G10:H10</f>
        <v>2.0989628645482462E-2</v>
      </c>
      <c r="J24">
        <v>2.0989628645482462E-2</v>
      </c>
    </row>
    <row r="25" spans="1:11">
      <c r="C25" s="96" t="s">
        <v>212</v>
      </c>
      <c r="D25" s="98">
        <f ca="1">_xlfn.STDEV.P(J9:J15)</f>
        <v>0.21258537627209059</v>
      </c>
      <c r="E25" s="93">
        <f t="shared" ref="E25:E26" ca="1" si="7">$F$17 * D25</f>
        <v>701.5713250949608</v>
      </c>
      <c r="F25" s="79"/>
      <c r="G25" s="94" t="s">
        <v>165</v>
      </c>
      <c r="H25" s="99">
        <f>'Data Descriptors 1'!B14</f>
        <v>5.1061057881533263E-2</v>
      </c>
      <c r="I25" s="100" cm="1">
        <f t="array" ref="I25:J25">'Data Descriptors 1'!G14:H14</f>
        <v>5.1785706300109459E-2</v>
      </c>
      <c r="J25">
        <v>5.1785706300109459E-2</v>
      </c>
    </row>
    <row r="26" spans="1:11">
      <c r="C26" s="96" t="s">
        <v>211</v>
      </c>
      <c r="D26" s="99">
        <f>_xlfn.NORM.INV(0.05,0.228,0.213)</f>
        <v>-0.12235382254066365</v>
      </c>
      <c r="E26" s="93">
        <f t="shared" ca="1" si="7"/>
        <v>-403.79039666594713</v>
      </c>
      <c r="F26" s="79"/>
      <c r="G26" s="79"/>
      <c r="H26" s="79"/>
      <c r="I26" s="79"/>
    </row>
    <row r="30" spans="1:11" ht="17" thickBot="1">
      <c r="C30" s="79"/>
      <c r="D30" s="79"/>
      <c r="E30" s="79"/>
      <c r="F30" s="101" t="s">
        <v>214</v>
      </c>
      <c r="G30" s="101" t="s">
        <v>1</v>
      </c>
    </row>
    <row r="31" spans="1:11">
      <c r="C31" s="79"/>
      <c r="D31" s="79"/>
      <c r="E31" s="94" t="s">
        <v>215</v>
      </c>
      <c r="F31" s="105">
        <v>0.11799999999999999</v>
      </c>
      <c r="G31" s="99">
        <f>((1 + F31) ^ (1/12)) - 1</f>
        <v>9.3384482983804862E-3</v>
      </c>
    </row>
    <row r="32" spans="1:11">
      <c r="C32" s="79"/>
      <c r="D32" s="79"/>
      <c r="E32" s="94" t="s">
        <v>216</v>
      </c>
      <c r="F32" s="91">
        <v>3.4000000000000002E-2</v>
      </c>
      <c r="G32" s="99">
        <f>((1 + F32) ^ (1/12)) - 1</f>
        <v>2.7901164905321796E-3</v>
      </c>
    </row>
    <row r="33" spans="3:7">
      <c r="C33" s="79"/>
      <c r="D33" s="79"/>
      <c r="E33" s="79" t="s">
        <v>217</v>
      </c>
      <c r="F33" s="98">
        <f>F31 - F32</f>
        <v>8.3999999999999991E-2</v>
      </c>
      <c r="G33" s="102">
        <f>G31 - G32</f>
        <v>6.5483318078483066E-3</v>
      </c>
    </row>
    <row r="34" spans="3:7">
      <c r="C34" s="79"/>
      <c r="D34" s="79"/>
      <c r="E34" s="79"/>
      <c r="F34" s="79"/>
      <c r="G34" s="79"/>
    </row>
    <row r="35" spans="3:7">
      <c r="C35" s="79"/>
      <c r="D35" s="79"/>
      <c r="E35" s="94" t="s">
        <v>218</v>
      </c>
      <c r="F35" s="103">
        <f>_xlfn.COVARIANCE.S('Data Descriptors 1'!R3:R38, 'Data Descriptors 1'!AU10:AU45) / _xlfn.VAR.S('Data Descriptors 1'!AU10:AU45)</f>
        <v>0.32921946787566858</v>
      </c>
      <c r="G35" s="79"/>
    </row>
    <row r="36" spans="3:7">
      <c r="C36" s="79"/>
      <c r="D36" s="79"/>
      <c r="E36" s="94" t="s">
        <v>219</v>
      </c>
      <c r="F36" s="103">
        <f ca="1">_xlfn.COVARIANCE.S('Data Descriptors 1'!R3:R38, 'Data Descriptors 1'!BH10:BH45) / _xlfn.VAR.S('Data Descriptors 1'!BH10:BH45)</f>
        <v>0.48569026348530825</v>
      </c>
      <c r="G36" s="79"/>
    </row>
    <row r="37" spans="3:7" ht="18">
      <c r="C37" s="79"/>
      <c r="D37" s="79"/>
      <c r="E37" s="94" t="s">
        <v>225</v>
      </c>
      <c r="F37" s="99">
        <f>G32 + F35 * G33</f>
        <v>4.9459548037853133E-3</v>
      </c>
      <c r="G37" s="99"/>
    </row>
    <row r="38" spans="3:7" ht="18">
      <c r="C38" s="79"/>
      <c r="D38" s="79"/>
      <c r="E38" s="94" t="s">
        <v>226</v>
      </c>
      <c r="F38" s="99">
        <f ca="1" xml:space="preserve"> G32 + F36 * G33</f>
        <v>5.9705774916752486E-3</v>
      </c>
      <c r="G38" s="99"/>
    </row>
    <row r="39" spans="3:7">
      <c r="C39" s="79"/>
      <c r="D39" s="79"/>
      <c r="E39" s="79"/>
      <c r="F39" s="79"/>
      <c r="G39" s="79"/>
    </row>
    <row r="40" spans="3:7" ht="17" thickBot="1">
      <c r="C40" s="79"/>
      <c r="D40" s="79"/>
      <c r="E40" s="79"/>
      <c r="F40" s="101" t="s">
        <v>1</v>
      </c>
      <c r="G40" s="101" t="s">
        <v>214</v>
      </c>
    </row>
    <row r="41" spans="3:7">
      <c r="C41" s="79"/>
      <c r="D41" s="79"/>
      <c r="E41" s="94" t="s">
        <v>220</v>
      </c>
      <c r="F41" s="92">
        <f>(F37 - G32) / H25</f>
        <v>4.2220792178941792E-2</v>
      </c>
      <c r="G41" s="103">
        <f>F41 * SQRT(12)</f>
        <v>0.14625711437946773</v>
      </c>
    </row>
    <row r="42" spans="3:7">
      <c r="C42" s="79"/>
      <c r="D42" s="79"/>
      <c r="E42" s="94" t="s">
        <v>221</v>
      </c>
      <c r="F42" s="92">
        <f ca="1">(F38 - G32) / H25</f>
        <v>6.2287409096028819E-2</v>
      </c>
      <c r="G42" s="103">
        <f ca="1">F42 * SQRT(12)</f>
        <v>0.21576991445229948</v>
      </c>
    </row>
    <row r="43" spans="3:7">
      <c r="C43" s="79"/>
      <c r="D43" s="79"/>
      <c r="E43" s="79"/>
      <c r="F43" s="79"/>
      <c r="G43" s="79"/>
    </row>
    <row r="44" spans="3:7">
      <c r="C44" s="79"/>
      <c r="D44" s="79"/>
      <c r="E44" s="94" t="s">
        <v>222</v>
      </c>
      <c r="F44" s="103">
        <f>AVERAGE('Data Descriptors 1'!BC9:BC43) / 'Statistical Tests'!H25</f>
        <v>0.41106920844022643</v>
      </c>
      <c r="G44" s="103">
        <f>F44 * SQRT(12)</f>
        <v>1.4239855088911866</v>
      </c>
    </row>
    <row r="45" spans="3:7">
      <c r="C45" s="79"/>
      <c r="D45" s="79"/>
      <c r="E45" s="79"/>
      <c r="F45" s="79"/>
      <c r="G45" s="79"/>
    </row>
    <row r="46" spans="3:7">
      <c r="C46" s="79"/>
      <c r="D46" s="79"/>
      <c r="E46" s="94" t="s">
        <v>223</v>
      </c>
      <c r="F46" s="104">
        <f>I24 - F37</f>
        <v>1.6043673841697151E-2</v>
      </c>
      <c r="G46" s="104">
        <f>((1 + F46) ^12) - 1</f>
        <v>0.21045462425200911</v>
      </c>
    </row>
    <row r="47" spans="3:7">
      <c r="C47" s="79"/>
      <c r="D47" s="79"/>
      <c r="E47" s="94" t="s">
        <v>224</v>
      </c>
      <c r="F47" s="104">
        <f ca="1">I24 - F38</f>
        <v>1.5019051153807214E-2</v>
      </c>
      <c r="G47" s="104">
        <f ca="1">((1 + F47) ^12) - 1</f>
        <v>0.19588749470001443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F182F-BA28-144D-94B3-8FF260EA625A}">
  <dimension ref="A1"/>
  <sheetViews>
    <sheetView workbookViewId="0">
      <selection activeCell="S17" sqref="S17"/>
    </sheetView>
  </sheetViews>
  <sheetFormatPr baseColWidth="10" defaultRowHeight="16"/>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 Report</vt:lpstr>
      <vt:lpstr>Data Descriptors 1</vt:lpstr>
      <vt:lpstr>Data Descriptors 2</vt:lpstr>
      <vt:lpstr>Graphs and Charts</vt:lpstr>
      <vt:lpstr>Statistical Tests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Kacey Chea</dc:creator>
  <cp:lastModifiedBy>Kacey Chea</cp:lastModifiedBy>
  <dcterms:created xsi:type="dcterms:W3CDTF">2025-10-29T16:11:52Z</dcterms:created>
  <dcterms:modified xsi:type="dcterms:W3CDTF">2025-11-07T08:04:18Z</dcterms:modified>
</cp:coreProperties>
</file>